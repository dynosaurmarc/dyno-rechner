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Berechnung Guthabenverlauf" sheetId="1" r:id="rId4"/>
    <sheet state="visible" name="Kostenübersicht DYNO Tarife" sheetId="2" r:id="rId5"/>
  </sheets>
  <definedNames/>
  <calcPr/>
  <extLst>
    <ext uri="GoogleSheetsCustomDataVersion2">
      <go:sheetsCustomData xmlns:go="http://customooxmlschemas.google.com/" r:id="rId6" roundtripDataChecksum="qh6jJtm0fzxfhLAJlXCLapRV0l4MLArHd+thyYvSdbs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J42">
      <text>
        <t xml:space="preserve">======
ID#AAABRqsMy-U
Marc Karkossa    (2024-07-15 07:02:55)
inkl. 0,82% Kosten Wertsicherungsfonds</t>
      </text>
    </comment>
  </commentList>
  <extLst>
    <ext uri="GoogleSheetsCustomDataVersion2">
      <go:sheetsCustomData xmlns:go="http://customooxmlschemas.google.com/" r:id="rId1" roundtripDataSignature="AMtx7mhx5Rroe2Wa69N4mYTKyAg8ZQmlPA=="/>
    </ext>
  </extLst>
</comments>
</file>

<file path=xl/sharedStrings.xml><?xml version="1.0" encoding="utf-8"?>
<sst xmlns="http://schemas.openxmlformats.org/spreadsheetml/2006/main" count="685" uniqueCount="134">
  <si>
    <t>DYNO</t>
  </si>
  <si>
    <t>Alte Leipziger</t>
  </si>
  <si>
    <t>Mit Provision / Makler</t>
  </si>
  <si>
    <t>Versicherer</t>
  </si>
  <si>
    <t>&lt;&gt; DYNO</t>
  </si>
  <si>
    <t>Dynamik</t>
  </si>
  <si>
    <t>Ja</t>
  </si>
  <si>
    <t>💰</t>
  </si>
  <si>
    <t>Beitrag</t>
  </si>
  <si>
    <t>Rendite</t>
  </si>
  <si>
    <t>Beitrag mit Dynamik</t>
  </si>
  <si>
    <t>Geburtsdatum</t>
  </si>
  <si>
    <t>Sicherungsvermögen</t>
  </si>
  <si>
    <t>Renteneintritt</t>
  </si>
  <si>
    <t>Fonds (p.a.)</t>
  </si>
  <si>
    <t>Laufzeit (Jahre)</t>
  </si>
  <si>
    <t>Fondsquote im Mittel</t>
  </si>
  <si>
    <t>Laufzeit (Monate)</t>
  </si>
  <si>
    <t>Beitragssumme</t>
  </si>
  <si>
    <t>Gesamtperformance (p.a.)</t>
  </si>
  <si>
    <t>Gebühren</t>
  </si>
  <si>
    <t>Prozent</t>
  </si>
  <si>
    <t>Nominal</t>
  </si>
  <si>
    <t xml:space="preserve">Beitrag </t>
  </si>
  <si>
    <t>Abschlusskosten</t>
  </si>
  <si>
    <t>verteilt über</t>
  </si>
  <si>
    <t>Monate</t>
  </si>
  <si>
    <t>Beitragskosten</t>
  </si>
  <si>
    <t>Verwaltungskosten</t>
  </si>
  <si>
    <t>Kosten in Monat 1</t>
  </si>
  <si>
    <t>Kosten vom Beitrag</t>
  </si>
  <si>
    <t>Investierter Beitrag</t>
  </si>
  <si>
    <t>🏁</t>
  </si>
  <si>
    <t>% der Beitragssumme über 60 Monate verteilt</t>
  </si>
  <si>
    <t>Ergebnisse Model 1</t>
  </si>
  <si>
    <t>Ergebnisse Model 2</t>
  </si>
  <si>
    <t>% der Beitragssumme pro Jahr</t>
  </si>
  <si>
    <t>Kosten nach 5 Jahren</t>
  </si>
  <si>
    <t>% des Guthabens pro Jahr</t>
  </si>
  <si>
    <t>Kapital nach Laufzeit</t>
  </si>
  <si>
    <t>Ergebnisse Modell 1</t>
  </si>
  <si>
    <t>Ergebnisse Modell 2</t>
  </si>
  <si>
    <t>Beitrag nach 5 Jahren</t>
  </si>
  <si>
    <t>Summe Kosten</t>
  </si>
  <si>
    <t>Ohne Gewähr</t>
  </si>
  <si>
    <t>Modell 1 - Guthabenverlauf</t>
  </si>
  <si>
    <t>Modell 2 - Guthabenverlauf</t>
  </si>
  <si>
    <t>Beitragsfreistellung</t>
  </si>
  <si>
    <t>Jahr</t>
  </si>
  <si>
    <t>Monat</t>
  </si>
  <si>
    <t>Guthaben</t>
  </si>
  <si>
    <t>Mtl. Kosten</t>
  </si>
  <si>
    <t>Guthaben+</t>
  </si>
  <si>
    <t xml:space="preserve">Eingezahlt </t>
  </si>
  <si>
    <t>Eingezahlt</t>
  </si>
  <si>
    <t>gamma inkl. 0,07% Fondskosten = bruttomethode</t>
  </si>
  <si>
    <t>Legende</t>
  </si>
  <si>
    <t>Kostenübersicht der Tarife</t>
  </si>
  <si>
    <t>Alpha</t>
  </si>
  <si>
    <t>Beta</t>
  </si>
  <si>
    <t>Gamma</t>
  </si>
  <si>
    <t>alpha</t>
  </si>
  <si>
    <t>Einstiegskosten</t>
  </si>
  <si>
    <t>Mit Provisionen</t>
  </si>
  <si>
    <t>Allianz</t>
  </si>
  <si>
    <t>beta 1</t>
  </si>
  <si>
    <t xml:space="preserve">Alte Leipziger Lebensversicherung a.G.	</t>
  </si>
  <si>
    <t>gamma</t>
  </si>
  <si>
    <t>AXA</t>
  </si>
  <si>
    <t>beta1</t>
  </si>
  <si>
    <t>jhrl. Red. um</t>
  </si>
  <si>
    <t>Prozentpunkte</t>
  </si>
  <si>
    <t xml:space="preserve">Barmenia Lebensversicherung a.G.	</t>
  </si>
  <si>
    <t>beta2</t>
  </si>
  <si>
    <t>ab dem</t>
  </si>
  <si>
    <t>Bayerische Lebensversicherung AG</t>
  </si>
  <si>
    <t>betagamma</t>
  </si>
  <si>
    <t>maximal</t>
  </si>
  <si>
    <t>Euro pro Jahr</t>
  </si>
  <si>
    <t>Canada Life</t>
  </si>
  <si>
    <t>mindestens</t>
  </si>
  <si>
    <t>Euro pro Monat</t>
  </si>
  <si>
    <t>Concordia</t>
  </si>
  <si>
    <t>kappa</t>
  </si>
  <si>
    <t>Condor</t>
  </si>
  <si>
    <t xml:space="preserve">Continentale Lebensversicherung AG	</t>
  </si>
  <si>
    <t>Debeka</t>
  </si>
  <si>
    <t>ERGO Vorsorge Lebensversicherung AG</t>
  </si>
  <si>
    <t>Generali</t>
  </si>
  <si>
    <t>Gothaer</t>
  </si>
  <si>
    <t>HanseMerkur Lebensversicherung AG</t>
  </si>
  <si>
    <t xml:space="preserve">HDI Lebensversicherung AG	</t>
  </si>
  <si>
    <t>HUK-COBURG-Lebensversicherung AG</t>
  </si>
  <si>
    <t>LV1871</t>
  </si>
  <si>
    <t>neue leben Lebensversicherung AG</t>
  </si>
  <si>
    <t>Nürnberger</t>
  </si>
  <si>
    <t>Stuttgarter</t>
  </si>
  <si>
    <t>Pangaea Life</t>
  </si>
  <si>
    <t>Provinzial Lebensversicherung AG</t>
  </si>
  <si>
    <t>R+V Lebensversicherung</t>
  </si>
  <si>
    <t>SIGNAL IDUNA Lebensversicherung AG</t>
  </si>
  <si>
    <t>Sonstige, nicht aufgeführt</t>
  </si>
  <si>
    <t>Sparkassen Versicherung</t>
  </si>
  <si>
    <t>SwissLife</t>
  </si>
  <si>
    <t>Swiss Life</t>
  </si>
  <si>
    <t xml:space="preserve">VOLKSWOHL BUND LEBENSVERSICHERUNG a.G.	</t>
  </si>
  <si>
    <t>Württembergische Lebensversicherung AG</t>
  </si>
  <si>
    <t>WWK</t>
  </si>
  <si>
    <t>Metallrente</t>
  </si>
  <si>
    <t>Zurich</t>
  </si>
  <si>
    <t>Sparkasse</t>
  </si>
  <si>
    <t>3,3 % Sicherungsvermögen</t>
  </si>
  <si>
    <t>inkl. Gruppenkonditionen</t>
  </si>
  <si>
    <t>Allianz Perspektive</t>
  </si>
  <si>
    <t>Allianz Komfort Dynamik</t>
  </si>
  <si>
    <t>AL</t>
  </si>
  <si>
    <t>Presseversorgung Perspektive</t>
  </si>
  <si>
    <t>4,43% Rendite vor Kosten - Sicherungsvermögen</t>
  </si>
  <si>
    <t>Allianz InvestFlex</t>
  </si>
  <si>
    <t>AL GlobalAktiv+ - 1,25%</t>
  </si>
  <si>
    <t>Presseversorgung Invest Flex</t>
  </si>
  <si>
    <t>OHNE FONDSKOSTEN</t>
  </si>
  <si>
    <t>Neue Leben Aktivplan</t>
  </si>
  <si>
    <t>Conitental Rente Invest</t>
  </si>
  <si>
    <t>Gothaer - GarantieRente Index</t>
  </si>
  <si>
    <t>Stuttgarter Performance +</t>
  </si>
  <si>
    <t>Nürnberger DAX Vorteilsrente</t>
  </si>
  <si>
    <t>HDI Select</t>
  </si>
  <si>
    <t>Basis</t>
  </si>
  <si>
    <t>Wertsicherungsfonds (MSCI World)</t>
  </si>
  <si>
    <t>ETF</t>
  </si>
  <si>
    <t>Total</t>
  </si>
  <si>
    <t>Allokation</t>
  </si>
  <si>
    <t>Gesamtkostenquote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</si>
</sst>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5">
    <numFmt numFmtId="164" formatCode="_-* #,##0.0\ &quot;€&quot;_-;\-* #,##0.0\ &quot;€&quot;_-;_-* &quot;-&quot;??.0\ &quot;€&quot;_-;_-@"/>
    <numFmt numFmtId="165" formatCode="dd.MM.yyyy"/>
    <numFmt numFmtId="166" formatCode="0.0%"/>
    <numFmt numFmtId="167" formatCode="_-* #,##0\ &quot;€&quot;_-;\-* #,##0\ &quot;€&quot;_-;_-* &quot;-&quot;??\ &quot;€&quot;_-;_-@"/>
    <numFmt numFmtId="168" formatCode="#,##0.00\ [$€-1]"/>
    <numFmt numFmtId="169" formatCode="#,##0.0\ [$€-1]"/>
    <numFmt numFmtId="170" formatCode="#,##0.00\ &quot;€&quot;;[Red]\-#,##0.00\ &quot;€&quot;"/>
    <numFmt numFmtId="171" formatCode="#,##0.000\ [$€-1]"/>
    <numFmt numFmtId="172" formatCode="0.000%"/>
    <numFmt numFmtId="173" formatCode="_-* #,##0.00\ [$€-1]_-;\-* #,##0.00\ [$€-1]_-;_-* &quot;-&quot;??\ [$€-1]_-;_-@"/>
    <numFmt numFmtId="174" formatCode="#,##0\ [$€-1]"/>
    <numFmt numFmtId="175" formatCode="#,##0.0"/>
    <numFmt numFmtId="176" formatCode="_-* #,##0.00\ &quot;€&quot;_-;\-* #,##0.00\ &quot;€&quot;_-;_-* &quot;-&quot;??.00\ &quot;€&quot;_-;_-@"/>
    <numFmt numFmtId="177" formatCode="dd.mm.yyyy"/>
    <numFmt numFmtId="178" formatCode="d.m.yyyy"/>
  </numFmts>
  <fonts count="42">
    <font>
      <sz val="11.0"/>
      <color theme="1"/>
      <name val="Arial"/>
      <scheme val="minor"/>
    </font>
    <font>
      <sz val="11.0"/>
      <color theme="1"/>
      <name val="Poppins"/>
    </font>
    <font>
      <sz val="10.0"/>
      <color theme="1"/>
      <name val="Poppins"/>
    </font>
    <font>
      <b/>
      <sz val="4.0"/>
      <color rgb="FFFFFFFF"/>
      <name val="Poppins"/>
    </font>
    <font>
      <b/>
      <sz val="4.0"/>
      <color theme="1"/>
      <name val="Poppins"/>
    </font>
    <font>
      <b/>
      <sz val="15.0"/>
      <color theme="1"/>
      <name val="Poppins"/>
    </font>
    <font/>
    <font>
      <b/>
      <sz val="15.0"/>
      <color rgb="FF000000"/>
      <name val="Poppins"/>
    </font>
    <font>
      <b/>
      <sz val="9.0"/>
      <color theme="1"/>
      <name val="Poppins"/>
    </font>
    <font>
      <sz val="15.0"/>
      <color theme="1"/>
      <name val="Poppins"/>
    </font>
    <font>
      <color theme="1"/>
      <name val="Poppins"/>
    </font>
    <font>
      <color theme="1"/>
      <name val="Arial"/>
    </font>
    <font>
      <b/>
      <color theme="1"/>
      <name val="Poppins"/>
    </font>
    <font>
      <sz val="4.0"/>
      <color theme="1"/>
      <name val="Poppins"/>
    </font>
    <font>
      <sz val="10.0"/>
      <color rgb="FFFFFFFF"/>
      <name val="Poppins"/>
    </font>
    <font>
      <b/>
      <sz val="11.0"/>
      <color rgb="FF843DFF"/>
      <name val="Poppins"/>
    </font>
    <font>
      <sz val="10.0"/>
      <color rgb="FF000000"/>
      <name val="Poppins"/>
    </font>
    <font>
      <sz val="10.0"/>
      <color theme="1"/>
      <name val="Arial"/>
    </font>
    <font>
      <b/>
      <sz val="10.0"/>
      <color rgb="FF000000"/>
      <name val="Poppins"/>
    </font>
    <font>
      <sz val="11.0"/>
      <color rgb="FF000000"/>
      <name val="Poppins"/>
    </font>
    <font>
      <i/>
      <sz val="10.0"/>
      <color rgb="FF000000"/>
      <name val="Poppins"/>
    </font>
    <font>
      <b/>
      <sz val="10.0"/>
      <color rgb="FF843DFF"/>
      <name val="Poppins"/>
    </font>
    <font>
      <i/>
      <sz val="10.0"/>
      <color theme="1"/>
      <name val="Poppins"/>
    </font>
    <font>
      <sz val="8.0"/>
      <color theme="1"/>
      <name val="Poppins"/>
    </font>
    <font>
      <i/>
      <color theme="1"/>
      <name val="Arial"/>
    </font>
    <font>
      <sz val="11.0"/>
      <color rgb="FFFFFFFF"/>
      <name val="Poppins"/>
    </font>
    <font>
      <sz val="10.0"/>
      <color rgb="FFF3F3F3"/>
      <name val="Poppins"/>
    </font>
    <font>
      <b/>
      <sz val="10.0"/>
      <color theme="1"/>
      <name val="Poppins"/>
    </font>
    <font>
      <b/>
      <sz val="10.0"/>
      <color rgb="FFFFFFFF"/>
      <name val="Poppins"/>
    </font>
    <font>
      <b/>
      <color theme="1"/>
      <name val="Arial"/>
    </font>
    <font>
      <b/>
      <sz val="11.0"/>
      <color theme="1"/>
      <name val="Poppins"/>
    </font>
    <font>
      <b/>
      <i/>
      <sz val="12.0"/>
      <color theme="1"/>
      <name val="Poppins"/>
    </font>
    <font>
      <sz val="7.0"/>
      <color theme="1"/>
      <name val="Poppins"/>
    </font>
    <font>
      <sz val="8.0"/>
      <color rgb="FFFFFFFF"/>
      <name val="Poppins"/>
    </font>
    <font>
      <b/>
      <sz val="10.0"/>
      <color theme="4"/>
      <name val="Poppins"/>
    </font>
    <font>
      <sz val="10.0"/>
      <color theme="4"/>
      <name val="Poppins"/>
    </font>
    <font>
      <sz val="11.0"/>
      <color theme="4"/>
      <name val="Poppins"/>
    </font>
    <font>
      <sz val="11.0"/>
      <color theme="1"/>
      <name val="Arial"/>
    </font>
    <font>
      <b/>
      <sz val="11.0"/>
      <color rgb="FFFFFFFF"/>
      <name val="Poppins"/>
    </font>
    <font>
      <b/>
      <sz val="11.0"/>
      <color rgb="FF843DFF"/>
      <name val="Arial"/>
    </font>
    <font>
      <sz val="11.0"/>
      <color rgb="FFFFFFFF"/>
      <name val="Arial"/>
    </font>
    <font>
      <b/>
      <sz val="11.0"/>
      <color theme="1"/>
      <name val="Arial"/>
    </font>
  </fonts>
  <fills count="7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843DFF"/>
        <bgColor rgb="FF843DFF"/>
      </patternFill>
    </fill>
    <fill>
      <patternFill patternType="solid">
        <fgColor rgb="FFFFFF00"/>
        <bgColor rgb="FFFFFF00"/>
      </patternFill>
    </fill>
    <fill>
      <patternFill patternType="solid">
        <fgColor rgb="FFEA9999"/>
        <bgColor rgb="FFEA9999"/>
      </patternFill>
    </fill>
  </fills>
  <borders count="31">
    <border/>
    <border>
      <left/>
      <top/>
    </border>
    <border>
      <top/>
    </border>
    <border>
      <left/>
      <right/>
      <top/>
    </border>
    <border>
      <left/>
      <right/>
      <top/>
      <bottom/>
    </border>
    <border>
      <left/>
    </border>
    <border>
      <right/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/>
      <top/>
      <bottom/>
    </border>
    <border>
      <left/>
      <right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/>
      <top/>
      <bottom/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 style="thin">
        <color rgb="FF000000"/>
      </right>
      <top/>
      <bottom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214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vertical="center"/>
    </xf>
    <xf borderId="0" fillId="3" fontId="3" numFmtId="0" xfId="0" applyAlignment="1" applyFill="1" applyFont="1">
      <alignment vertical="center"/>
    </xf>
    <xf borderId="0" fillId="2" fontId="4" numFmtId="0" xfId="0" applyAlignment="1" applyFont="1">
      <alignment vertical="center"/>
    </xf>
    <xf borderId="0" fillId="2" fontId="5" numFmtId="0" xfId="0" applyAlignment="1" applyFont="1">
      <alignment vertical="center"/>
    </xf>
    <xf borderId="1" fillId="2" fontId="5" numFmtId="0" xfId="0" applyAlignment="1" applyBorder="1" applyFont="1">
      <alignment vertical="center"/>
    </xf>
    <xf borderId="2" fillId="2" fontId="5" numFmtId="0" xfId="0" applyAlignment="1" applyBorder="1" applyFont="1">
      <alignment vertical="center"/>
    </xf>
    <xf borderId="2" fillId="0" fontId="6" numFmtId="0" xfId="0" applyBorder="1" applyFont="1"/>
    <xf borderId="3" fillId="2" fontId="5" numFmtId="0" xfId="0" applyAlignment="1" applyBorder="1" applyFont="1">
      <alignment vertical="center"/>
    </xf>
    <xf borderId="1" fillId="2" fontId="7" numFmtId="0" xfId="0" applyAlignment="1" applyBorder="1" applyFont="1">
      <alignment vertical="center"/>
    </xf>
    <xf borderId="3" fillId="2" fontId="1" numFmtId="0" xfId="0" applyBorder="1" applyFont="1"/>
    <xf borderId="4" fillId="2" fontId="8" numFmtId="0" xfId="0" applyBorder="1" applyFont="1"/>
    <xf borderId="4" fillId="2" fontId="8" numFmtId="0" xfId="0" applyAlignment="1" applyBorder="1" applyFont="1">
      <alignment readingOrder="0"/>
    </xf>
    <xf borderId="5" fillId="0" fontId="6" numFmtId="0" xfId="0" applyBorder="1" applyFont="1"/>
    <xf borderId="5" fillId="2" fontId="5" numFmtId="0" xfId="0" applyAlignment="1" applyBorder="1" applyFont="1">
      <alignment vertical="center"/>
    </xf>
    <xf borderId="6" fillId="2" fontId="5" numFmtId="0" xfId="0" applyAlignment="1" applyBorder="1" applyFont="1">
      <alignment vertical="center"/>
    </xf>
    <xf borderId="0" fillId="2" fontId="9" numFmtId="0" xfId="0" applyAlignment="1" applyFont="1">
      <alignment vertical="center"/>
    </xf>
    <xf borderId="0" fillId="0" fontId="10" numFmtId="0" xfId="0" applyFont="1"/>
    <xf borderId="0" fillId="0" fontId="11" numFmtId="0" xfId="0" applyFont="1"/>
    <xf borderId="0" fillId="0" fontId="12" numFmtId="0" xfId="0" applyAlignment="1" applyFont="1">
      <alignment vertical="bottom"/>
    </xf>
    <xf borderId="0" fillId="3" fontId="12" numFmtId="0" xfId="0" applyAlignment="1" applyFont="1">
      <alignment vertical="bottom"/>
    </xf>
    <xf borderId="0" fillId="3" fontId="2" numFmtId="0" xfId="0" applyAlignment="1" applyFont="1">
      <alignment horizontal="left" vertical="bottom"/>
    </xf>
    <xf borderId="0" fillId="0" fontId="13" numFmtId="1" xfId="0" applyFont="1" applyNumberFormat="1"/>
    <xf borderId="7" fillId="2" fontId="2" numFmtId="0" xfId="0" applyAlignment="1" applyBorder="1" applyFont="1">
      <alignment horizontal="left"/>
    </xf>
    <xf borderId="8" fillId="4" fontId="14" numFmtId="164" xfId="0" applyAlignment="1" applyBorder="1" applyFill="1" applyFont="1" applyNumberFormat="1">
      <alignment horizontal="right"/>
    </xf>
    <xf borderId="0" fillId="0" fontId="2" numFmtId="0" xfId="0" applyFont="1"/>
    <xf borderId="7" fillId="2" fontId="15" numFmtId="0" xfId="0" applyAlignment="1" applyBorder="1" applyFont="1">
      <alignment horizontal="left"/>
    </xf>
    <xf borderId="9" fillId="0" fontId="6" numFmtId="0" xfId="0" applyBorder="1" applyFont="1"/>
    <xf borderId="8" fillId="0" fontId="6" numFmtId="0" xfId="0" applyBorder="1" applyFont="1"/>
    <xf borderId="7" fillId="3" fontId="2" numFmtId="0" xfId="0" applyAlignment="1" applyBorder="1" applyFont="1">
      <alignment horizontal="left" vertical="bottom"/>
    </xf>
    <xf borderId="10" fillId="0" fontId="2" numFmtId="0" xfId="0" applyAlignment="1" applyBorder="1" applyFont="1">
      <alignment horizontal="left"/>
    </xf>
    <xf borderId="11" fillId="4" fontId="14" numFmtId="165" xfId="0" applyAlignment="1" applyBorder="1" applyFont="1" applyNumberFormat="1">
      <alignment horizontal="right"/>
    </xf>
    <xf borderId="0" fillId="3" fontId="16" numFmtId="166" xfId="0" applyFont="1" applyNumberFormat="1"/>
    <xf borderId="10" fillId="2" fontId="2" numFmtId="0" xfId="0" applyBorder="1" applyFont="1"/>
    <xf borderId="0" fillId="2" fontId="2" numFmtId="0" xfId="0" applyFont="1"/>
    <xf borderId="11" fillId="3" fontId="16" numFmtId="166" xfId="0" applyBorder="1" applyFont="1" applyNumberFormat="1"/>
    <xf borderId="0" fillId="0" fontId="2" numFmtId="0" xfId="0" applyAlignment="1" applyFont="1">
      <alignment horizontal="left" vertical="bottom"/>
    </xf>
    <xf borderId="10" fillId="0" fontId="2" numFmtId="0" xfId="0" applyAlignment="1" applyBorder="1" applyFont="1">
      <alignment horizontal="left" vertical="bottom"/>
    </xf>
    <xf borderId="11" fillId="4" fontId="14" numFmtId="165" xfId="0" applyAlignment="1" applyBorder="1" applyFont="1" applyNumberFormat="1">
      <alignment horizontal="right" vertical="bottom"/>
    </xf>
    <xf borderId="10" fillId="2" fontId="2" numFmtId="0" xfId="0" applyAlignment="1" applyBorder="1" applyFont="1">
      <alignment horizontal="left"/>
    </xf>
    <xf borderId="11" fillId="3" fontId="16" numFmtId="165" xfId="0" applyAlignment="1" applyBorder="1" applyFont="1" applyNumberFormat="1">
      <alignment horizontal="right"/>
    </xf>
    <xf borderId="10" fillId="3" fontId="2" numFmtId="0" xfId="0" applyAlignment="1" applyBorder="1" applyFont="1">
      <alignment horizontal="left" vertical="bottom"/>
    </xf>
    <xf borderId="11" fillId="3" fontId="2" numFmtId="165" xfId="0" applyAlignment="1" applyBorder="1" applyFont="1" applyNumberFormat="1">
      <alignment horizontal="right" vertical="bottom"/>
    </xf>
    <xf borderId="11" fillId="3" fontId="16" numFmtId="0" xfId="0" applyAlignment="1" applyBorder="1" applyFont="1">
      <alignment horizontal="right"/>
    </xf>
    <xf borderId="11" fillId="4" fontId="14" numFmtId="166" xfId="0" applyBorder="1" applyFont="1" applyNumberFormat="1"/>
    <xf borderId="11" fillId="3" fontId="2" numFmtId="0" xfId="0" applyAlignment="1" applyBorder="1" applyFont="1">
      <alignment horizontal="right" vertical="bottom"/>
    </xf>
    <xf borderId="0" fillId="3" fontId="16" numFmtId="4" xfId="0" applyFont="1" applyNumberFormat="1"/>
    <xf borderId="11" fillId="0" fontId="2" numFmtId="0" xfId="0" applyAlignment="1" applyBorder="1" applyFont="1">
      <alignment horizontal="right"/>
    </xf>
    <xf borderId="10" fillId="0" fontId="17" numFmtId="0" xfId="0" applyBorder="1" applyFont="1"/>
    <xf borderId="0" fillId="0" fontId="17" numFmtId="0" xfId="0" applyFont="1"/>
    <xf borderId="11" fillId="0" fontId="17" numFmtId="0" xfId="0" applyBorder="1" applyFont="1"/>
    <xf borderId="11" fillId="0" fontId="2" numFmtId="0" xfId="0" applyAlignment="1" applyBorder="1" applyFont="1">
      <alignment horizontal="right" vertical="bottom"/>
    </xf>
    <xf borderId="10" fillId="0" fontId="11" numFmtId="0" xfId="0" applyBorder="1" applyFont="1"/>
    <xf borderId="11" fillId="0" fontId="11" numFmtId="0" xfId="0" applyBorder="1" applyFont="1"/>
    <xf borderId="12" fillId="2" fontId="2" numFmtId="0" xfId="0" applyAlignment="1" applyBorder="1" applyFont="1">
      <alignment horizontal="left"/>
    </xf>
    <xf borderId="13" fillId="2" fontId="2" numFmtId="167" xfId="0" applyAlignment="1" applyBorder="1" applyFont="1" applyNumberFormat="1">
      <alignment horizontal="right"/>
    </xf>
    <xf borderId="0" fillId="3" fontId="16" numFmtId="168" xfId="0" applyFont="1" applyNumberFormat="1"/>
    <xf borderId="14" fillId="0" fontId="2" numFmtId="0" xfId="0" applyBorder="1" applyFont="1"/>
    <xf borderId="13" fillId="3" fontId="18" numFmtId="166" xfId="0" applyBorder="1" applyFont="1" applyNumberFormat="1"/>
    <xf borderId="12" fillId="3" fontId="2" numFmtId="0" xfId="0" applyAlignment="1" applyBorder="1" applyFont="1">
      <alignment horizontal="left" vertical="bottom"/>
    </xf>
    <xf borderId="13" fillId="3" fontId="2" numFmtId="167" xfId="0" applyAlignment="1" applyBorder="1" applyFont="1" applyNumberFormat="1">
      <alignment horizontal="right" vertical="bottom"/>
    </xf>
    <xf borderId="0" fillId="3" fontId="19" numFmtId="166" xfId="0" applyFont="1" applyNumberFormat="1"/>
    <xf borderId="9" fillId="2" fontId="20" numFmtId="0" xfId="0" applyAlignment="1" applyBorder="1" applyFont="1">
      <alignment horizontal="center"/>
    </xf>
    <xf borderId="8" fillId="2" fontId="20" numFmtId="0" xfId="0" applyAlignment="1" applyBorder="1" applyFont="1">
      <alignment horizontal="center"/>
    </xf>
    <xf borderId="0" fillId="2" fontId="21" numFmtId="0" xfId="0" applyAlignment="1" applyFont="1">
      <alignment horizontal="left"/>
    </xf>
    <xf borderId="0" fillId="2" fontId="21" numFmtId="0" xfId="0" applyAlignment="1" applyFont="1">
      <alignment horizontal="center"/>
    </xf>
    <xf borderId="0" fillId="0" fontId="14" numFmtId="168" xfId="0" applyAlignment="1" applyFont="1" applyNumberFormat="1">
      <alignment horizontal="right" vertical="bottom"/>
    </xf>
    <xf borderId="10" fillId="3" fontId="2" numFmtId="0" xfId="0" applyAlignment="1" applyBorder="1" applyFont="1">
      <alignment vertical="bottom"/>
    </xf>
    <xf borderId="11" fillId="2" fontId="2" numFmtId="169" xfId="0" applyBorder="1" applyFont="1" applyNumberFormat="1"/>
    <xf borderId="0" fillId="4" fontId="14" numFmtId="10" xfId="0" applyFont="1" applyNumberFormat="1"/>
    <xf borderId="11" fillId="2" fontId="22" numFmtId="169" xfId="0" applyBorder="1" applyFont="1" applyNumberFormat="1"/>
    <xf borderId="0" fillId="2" fontId="23" numFmtId="0" xfId="0" applyAlignment="1" applyFont="1">
      <alignment horizontal="right"/>
    </xf>
    <xf borderId="0" fillId="2" fontId="23" numFmtId="0" xfId="0" applyFont="1"/>
    <xf borderId="0" fillId="3" fontId="2" numFmtId="0" xfId="0" applyAlignment="1" applyFont="1">
      <alignment vertical="bottom"/>
    </xf>
    <xf borderId="0" fillId="2" fontId="2" numFmtId="0" xfId="0" applyAlignment="1" applyFont="1">
      <alignment horizontal="left"/>
    </xf>
    <xf borderId="0" fillId="3" fontId="16" numFmtId="0" xfId="0" applyFont="1"/>
    <xf borderId="0" fillId="2" fontId="2" numFmtId="0" xfId="0" applyAlignment="1" applyFont="1">
      <alignment horizontal="right"/>
    </xf>
    <xf borderId="0" fillId="3" fontId="14" numFmtId="10" xfId="0" applyFont="1" applyNumberFormat="1"/>
    <xf borderId="11" fillId="0" fontId="24" numFmtId="169" xfId="0" applyBorder="1" applyFont="1" applyNumberFormat="1"/>
    <xf borderId="0" fillId="3" fontId="16" numFmtId="170" xfId="0" applyFont="1" applyNumberFormat="1"/>
    <xf borderId="0" fillId="2" fontId="2" numFmtId="9" xfId="0" applyFont="1" applyNumberFormat="1"/>
    <xf borderId="11" fillId="2" fontId="20" numFmtId="171" xfId="0" applyBorder="1" applyFont="1" applyNumberFormat="1"/>
    <xf borderId="0" fillId="3" fontId="25" numFmtId="0" xfId="0" applyAlignment="1" applyFont="1">
      <alignment vertical="bottom"/>
    </xf>
    <xf borderId="0" fillId="2" fontId="26" numFmtId="9" xfId="0" applyFont="1" applyNumberFormat="1"/>
    <xf borderId="0" fillId="2" fontId="26" numFmtId="0" xfId="0" applyFont="1"/>
    <xf borderId="10" fillId="2" fontId="16" numFmtId="0" xfId="0" applyBorder="1" applyFont="1"/>
    <xf borderId="11" fillId="0" fontId="10" numFmtId="0" xfId="0" applyBorder="1" applyFont="1"/>
    <xf borderId="0" fillId="0" fontId="25" numFmtId="168" xfId="0" applyAlignment="1" applyFont="1" applyNumberFormat="1">
      <alignment horizontal="right" vertical="bottom"/>
    </xf>
    <xf borderId="4" fillId="2" fontId="26" numFmtId="0" xfId="0" applyBorder="1" applyFont="1"/>
    <xf borderId="15" fillId="2" fontId="26" numFmtId="0" xfId="0" applyBorder="1" applyFont="1"/>
    <xf borderId="10" fillId="2" fontId="27" numFmtId="0" xfId="0" applyBorder="1" applyFont="1"/>
    <xf borderId="11" fillId="0" fontId="12" numFmtId="169" xfId="0" applyBorder="1" applyFont="1" applyNumberFormat="1"/>
    <xf borderId="12" fillId="2" fontId="2" numFmtId="0" xfId="0" applyBorder="1" applyFont="1"/>
    <xf borderId="14" fillId="3" fontId="14" numFmtId="172" xfId="0" applyBorder="1" applyFont="1" applyNumberFormat="1"/>
    <xf borderId="13" fillId="0" fontId="10" numFmtId="166" xfId="0" applyBorder="1" applyFont="1" applyNumberFormat="1"/>
    <xf borderId="14" fillId="3" fontId="16" numFmtId="172" xfId="0" applyBorder="1" applyFont="1" applyNumberFormat="1"/>
    <xf borderId="0" fillId="3" fontId="14" numFmtId="172" xfId="0" applyFont="1" applyNumberFormat="1"/>
    <xf borderId="0" fillId="0" fontId="10" numFmtId="166" xfId="0" applyFont="1" applyNumberFormat="1"/>
    <xf borderId="0" fillId="3" fontId="16" numFmtId="172" xfId="0" applyFont="1" applyNumberFormat="1"/>
    <xf borderId="0" fillId="2" fontId="27" numFmtId="169" xfId="0" applyFont="1" applyNumberFormat="1"/>
    <xf borderId="0" fillId="3" fontId="28" numFmtId="169" xfId="0" applyFont="1" applyNumberFormat="1"/>
    <xf borderId="0" fillId="0" fontId="12" numFmtId="169" xfId="0" applyFont="1" applyNumberFormat="1"/>
    <xf borderId="0" fillId="2" fontId="27" numFmtId="0" xfId="0" applyFont="1"/>
    <xf borderId="0" fillId="0" fontId="27" numFmtId="0" xfId="0" applyFont="1"/>
    <xf borderId="0" fillId="3" fontId="28" numFmtId="172" xfId="0" applyFont="1" applyNumberFormat="1"/>
    <xf borderId="15" fillId="2" fontId="26" numFmtId="0" xfId="0" applyAlignment="1" applyBorder="1" applyFont="1">
      <alignment horizontal="right"/>
    </xf>
    <xf borderId="0" fillId="3" fontId="25" numFmtId="168" xfId="0" applyAlignment="1" applyFont="1" applyNumberFormat="1">
      <alignment horizontal="right" vertical="bottom"/>
    </xf>
    <xf borderId="9" fillId="0" fontId="11" numFmtId="0" xfId="0" applyBorder="1" applyFont="1"/>
    <xf borderId="8" fillId="0" fontId="11" numFmtId="0" xfId="0" applyBorder="1" applyFont="1"/>
    <xf borderId="10" fillId="2" fontId="27" numFmtId="0" xfId="0" applyAlignment="1" applyBorder="1" applyFont="1">
      <alignment horizontal="left"/>
    </xf>
    <xf borderId="0" fillId="2" fontId="27" numFmtId="0" xfId="0" applyAlignment="1" applyFont="1">
      <alignment horizontal="left"/>
    </xf>
    <xf borderId="11" fillId="0" fontId="27" numFmtId="173" xfId="0" applyBorder="1" applyFont="1" applyNumberFormat="1"/>
    <xf borderId="12" fillId="2" fontId="27" numFmtId="0" xfId="0" applyAlignment="1" applyBorder="1" applyFont="1">
      <alignment horizontal="left"/>
    </xf>
    <xf borderId="14" fillId="0" fontId="29" numFmtId="0" xfId="0" applyBorder="1" applyFont="1"/>
    <xf borderId="13" fillId="5" fontId="27" numFmtId="167" xfId="0" applyBorder="1" applyFill="1" applyFont="1" applyNumberFormat="1"/>
    <xf borderId="4" fillId="2" fontId="2" numFmtId="0" xfId="0" applyBorder="1" applyFont="1"/>
    <xf borderId="1" fillId="2" fontId="30" numFmtId="0" xfId="0" applyAlignment="1" applyBorder="1" applyFont="1">
      <alignment vertical="center"/>
    </xf>
    <xf borderId="1" fillId="6" fontId="31" numFmtId="167" xfId="0" applyAlignment="1" applyBorder="1" applyFill="1" applyFont="1" applyNumberFormat="1">
      <alignment horizontal="center" vertical="center"/>
    </xf>
    <xf borderId="4" fillId="2" fontId="2" numFmtId="0" xfId="0" applyAlignment="1" applyBorder="1" applyFont="1">
      <alignment horizontal="right"/>
    </xf>
    <xf borderId="4" fillId="3" fontId="14" numFmtId="0" xfId="0" applyAlignment="1" applyBorder="1" applyFont="1">
      <alignment vertical="bottom"/>
    </xf>
    <xf borderId="16" fillId="2" fontId="2" numFmtId="0" xfId="0" applyBorder="1" applyFont="1"/>
    <xf borderId="0" fillId="2" fontId="2" numFmtId="0" xfId="0" applyAlignment="1" applyFont="1">
      <alignment horizontal="center"/>
    </xf>
    <xf borderId="17" fillId="2" fontId="2" numFmtId="0" xfId="0" applyAlignment="1" applyBorder="1" applyFont="1">
      <alignment horizontal="center"/>
    </xf>
    <xf borderId="18" fillId="0" fontId="6" numFmtId="0" xfId="0" applyBorder="1" applyFont="1"/>
    <xf borderId="15" fillId="2" fontId="2" numFmtId="0" xfId="0" applyAlignment="1" applyBorder="1" applyFont="1">
      <alignment horizontal="right"/>
    </xf>
    <xf borderId="19" fillId="0" fontId="6" numFmtId="0" xfId="0" applyBorder="1" applyFont="1"/>
    <xf borderId="20" fillId="2" fontId="2" numFmtId="0" xfId="0" applyAlignment="1" applyBorder="1" applyFont="1">
      <alignment horizontal="left"/>
    </xf>
    <xf borderId="20" fillId="2" fontId="2" numFmtId="167" xfId="0" applyBorder="1" applyFont="1" applyNumberFormat="1"/>
    <xf borderId="4" fillId="2" fontId="2" numFmtId="166" xfId="0" applyBorder="1" applyFont="1" applyNumberFormat="1"/>
    <xf borderId="0" fillId="2" fontId="1" numFmtId="169" xfId="0" applyFont="1" applyNumberFormat="1"/>
    <xf borderId="4" fillId="2" fontId="2" numFmtId="169" xfId="0" applyBorder="1" applyFont="1" applyNumberFormat="1"/>
    <xf borderId="4" fillId="2" fontId="2" numFmtId="174" xfId="0" applyBorder="1" applyFont="1" applyNumberFormat="1"/>
    <xf borderId="0" fillId="2" fontId="19" numFmtId="168" xfId="0" applyFont="1" applyNumberFormat="1"/>
    <xf borderId="0" fillId="2" fontId="32" numFmtId="0" xfId="0" applyFont="1"/>
    <xf borderId="4" fillId="2" fontId="2" numFmtId="175" xfId="0" applyBorder="1" applyFont="1" applyNumberFormat="1"/>
    <xf borderId="4" fillId="2" fontId="16" numFmtId="0" xfId="0" applyBorder="1" applyFont="1"/>
    <xf borderId="0" fillId="2" fontId="19" numFmtId="0" xfId="0" applyFont="1"/>
    <xf borderId="21" fillId="0" fontId="6" numFmtId="0" xfId="0" applyBorder="1" applyFont="1"/>
    <xf borderId="3" fillId="2" fontId="2" numFmtId="0" xfId="0" applyBorder="1" applyFont="1"/>
    <xf borderId="0" fillId="2" fontId="33" numFmtId="0" xfId="0" applyFont="1"/>
    <xf borderId="20" fillId="2" fontId="2" numFmtId="0" xfId="0" applyBorder="1" applyFont="1"/>
    <xf borderId="20" fillId="2" fontId="27" numFmtId="0" xfId="0" applyBorder="1" applyFont="1"/>
    <xf borderId="20" fillId="2" fontId="34" numFmtId="0" xfId="0" applyAlignment="1" applyBorder="1" applyFont="1">
      <alignment horizontal="right"/>
    </xf>
    <xf borderId="22" fillId="2" fontId="2" numFmtId="0" xfId="0" applyBorder="1" applyFont="1"/>
    <xf borderId="4" fillId="2" fontId="16" numFmtId="0" xfId="0" applyAlignment="1" applyBorder="1" applyFont="1">
      <alignment horizontal="center"/>
    </xf>
    <xf borderId="4" fillId="2" fontId="14" numFmtId="0" xfId="0" applyBorder="1" applyFont="1"/>
    <xf borderId="0" fillId="2" fontId="14" numFmtId="0" xfId="0" applyFont="1"/>
    <xf borderId="20" fillId="2" fontId="27" numFmtId="167" xfId="0" applyBorder="1" applyFont="1" applyNumberFormat="1"/>
    <xf borderId="20" fillId="2" fontId="35" numFmtId="167" xfId="0" applyBorder="1" applyFont="1" applyNumberFormat="1"/>
    <xf borderId="4" fillId="2" fontId="14" numFmtId="167" xfId="0" applyBorder="1" applyFont="1" applyNumberFormat="1"/>
    <xf borderId="0" fillId="0" fontId="16" numFmtId="10" xfId="0" applyFont="1" applyNumberFormat="1"/>
    <xf borderId="0" fillId="0" fontId="16" numFmtId="168" xfId="0" applyFont="1" applyNumberFormat="1"/>
    <xf borderId="0" fillId="0" fontId="14" numFmtId="168" xfId="0" applyFont="1" applyNumberFormat="1"/>
    <xf borderId="20" fillId="2" fontId="2" numFmtId="176" xfId="0" applyBorder="1" applyFont="1" applyNumberFormat="1"/>
    <xf borderId="4" fillId="2" fontId="14" numFmtId="10" xfId="0" applyBorder="1" applyFont="1" applyNumberFormat="1"/>
    <xf borderId="4" fillId="2" fontId="16" numFmtId="168" xfId="0" applyBorder="1" applyFont="1" applyNumberFormat="1"/>
    <xf borderId="4" fillId="2" fontId="14" numFmtId="168" xfId="0" applyBorder="1" applyFont="1" applyNumberFormat="1"/>
    <xf borderId="4" fillId="2" fontId="2" numFmtId="9" xfId="0" applyBorder="1" applyFont="1" applyNumberFormat="1"/>
    <xf borderId="0" fillId="2" fontId="16" numFmtId="168" xfId="0" applyFont="1" applyNumberFormat="1"/>
    <xf borderId="0" fillId="2" fontId="27" numFmtId="168" xfId="0" applyFont="1" applyNumberFormat="1"/>
    <xf borderId="0" fillId="2" fontId="2" numFmtId="10" xfId="0" applyFont="1" applyNumberFormat="1"/>
    <xf borderId="4" fillId="2" fontId="28" numFmtId="10" xfId="0" applyBorder="1" applyFont="1" applyNumberFormat="1"/>
    <xf borderId="4" fillId="2" fontId="1" numFmtId="0" xfId="0" applyBorder="1" applyFont="1"/>
    <xf borderId="20" fillId="2" fontId="1" numFmtId="0" xfId="0" applyBorder="1" applyFont="1"/>
    <xf borderId="20" fillId="2" fontId="1" numFmtId="167" xfId="0" applyBorder="1" applyFont="1" applyNumberFormat="1"/>
    <xf borderId="20" fillId="2" fontId="30" numFmtId="167" xfId="0" applyBorder="1" applyFont="1" applyNumberFormat="1"/>
    <xf borderId="20" fillId="2" fontId="36" numFmtId="167" xfId="0" applyBorder="1" applyFont="1" applyNumberFormat="1"/>
    <xf borderId="4" fillId="2" fontId="25" numFmtId="167" xfId="0" applyBorder="1" applyFont="1" applyNumberFormat="1"/>
    <xf borderId="4" fillId="2" fontId="25" numFmtId="10" xfId="0" applyBorder="1" applyFont="1" applyNumberFormat="1"/>
    <xf borderId="4" fillId="2" fontId="19" numFmtId="168" xfId="0" applyBorder="1" applyFont="1" applyNumberFormat="1"/>
    <xf borderId="4" fillId="2" fontId="25" numFmtId="168" xfId="0" applyBorder="1" applyFont="1" applyNumberFormat="1"/>
    <xf borderId="0" fillId="2" fontId="25" numFmtId="0" xfId="0" applyFont="1"/>
    <xf borderId="16" fillId="2" fontId="1" numFmtId="0" xfId="0" applyBorder="1" applyFont="1"/>
    <xf borderId="4" fillId="2" fontId="25" numFmtId="0" xfId="0" applyBorder="1" applyFont="1"/>
    <xf borderId="0" fillId="2" fontId="1" numFmtId="0" xfId="0" applyAlignment="1" applyFont="1">
      <alignment horizontal="left"/>
    </xf>
    <xf borderId="0" fillId="2" fontId="37" numFmtId="0" xfId="0" applyAlignment="1" applyFont="1">
      <alignment horizontal="left"/>
    </xf>
    <xf borderId="0" fillId="2" fontId="37" numFmtId="0" xfId="0" applyAlignment="1" applyFont="1">
      <alignment horizontal="center"/>
    </xf>
    <xf borderId="0" fillId="0" fontId="29" numFmtId="0" xfId="0" applyFont="1"/>
    <xf borderId="0" fillId="4" fontId="38" numFmtId="0" xfId="0" applyAlignment="1" applyFont="1">
      <alignment horizontal="left"/>
    </xf>
    <xf borderId="0" fillId="4" fontId="25" numFmtId="0" xfId="0" applyAlignment="1" applyFont="1">
      <alignment vertical="bottom"/>
    </xf>
    <xf borderId="0" fillId="0" fontId="1" numFmtId="0" xfId="0" applyAlignment="1" applyFont="1">
      <alignment vertical="bottom"/>
    </xf>
    <xf borderId="0" fillId="0" fontId="1" numFmtId="10" xfId="0" applyAlignment="1" applyFont="1" applyNumberFormat="1">
      <alignment horizontal="right" vertical="bottom"/>
    </xf>
    <xf borderId="0" fillId="2" fontId="39" numFmtId="0" xfId="0" applyAlignment="1" applyFont="1">
      <alignment horizontal="center"/>
    </xf>
    <xf borderId="23" fillId="2" fontId="39" numFmtId="0" xfId="0" applyAlignment="1" applyBorder="1" applyFont="1">
      <alignment horizontal="center"/>
    </xf>
    <xf borderId="24" fillId="0" fontId="6" numFmtId="0" xfId="0" applyBorder="1" applyFont="1"/>
    <xf borderId="25" fillId="0" fontId="6" numFmtId="0" xfId="0" applyBorder="1" applyFont="1"/>
    <xf borderId="0" fillId="0" fontId="37" numFmtId="0" xfId="0" applyAlignment="1" applyFont="1">
      <alignment vertical="bottom"/>
    </xf>
    <xf borderId="0" fillId="2" fontId="37" numFmtId="0" xfId="0" applyFont="1"/>
    <xf borderId="26" fillId="2" fontId="37" numFmtId="0" xfId="0" applyBorder="1" applyFont="1"/>
    <xf borderId="4" fillId="4" fontId="40" numFmtId="172" xfId="0" applyBorder="1" applyFont="1" applyNumberFormat="1"/>
    <xf borderId="4" fillId="2" fontId="37" numFmtId="0" xfId="0" applyAlignment="1" applyBorder="1" applyFont="1">
      <alignment horizontal="left"/>
    </xf>
    <xf borderId="4" fillId="4" fontId="40" numFmtId="0" xfId="0" applyBorder="1" applyFont="1"/>
    <xf borderId="27" fillId="2" fontId="37" numFmtId="0" xfId="0" applyBorder="1" applyFont="1"/>
    <xf borderId="0" fillId="0" fontId="37" numFmtId="10" xfId="0" applyAlignment="1" applyFont="1" applyNumberFormat="1">
      <alignment horizontal="right" vertical="bottom"/>
    </xf>
    <xf borderId="4" fillId="2" fontId="37" numFmtId="0" xfId="0" applyAlignment="1" applyBorder="1" applyFont="1">
      <alignment horizontal="right"/>
    </xf>
    <xf borderId="4" fillId="4" fontId="40" numFmtId="170" xfId="0" applyBorder="1" applyFont="1" applyNumberFormat="1"/>
    <xf borderId="0" fillId="0" fontId="11" numFmtId="177" xfId="0" applyFont="1" applyNumberFormat="1"/>
    <xf borderId="0" fillId="0" fontId="11" numFmtId="178" xfId="0" applyFont="1" applyNumberFormat="1"/>
    <xf borderId="28" fillId="2" fontId="37" numFmtId="0" xfId="0" applyBorder="1" applyFont="1"/>
    <xf borderId="29" fillId="4" fontId="40" numFmtId="172" xfId="0" applyBorder="1" applyFont="1" applyNumberFormat="1"/>
    <xf borderId="29" fillId="2" fontId="37" numFmtId="0" xfId="0" applyBorder="1" applyFont="1"/>
    <xf borderId="14" fillId="0" fontId="37" numFmtId="0" xfId="0" applyBorder="1" applyFont="1"/>
    <xf borderId="30" fillId="2" fontId="37" numFmtId="0" xfId="0" applyBorder="1" applyFont="1"/>
    <xf borderId="0" fillId="0" fontId="11" numFmtId="10" xfId="0" applyFont="1" applyNumberFormat="1"/>
    <xf borderId="0" fillId="0" fontId="41" numFmtId="0" xfId="0" applyAlignment="1" applyFont="1">
      <alignment vertical="bottom"/>
    </xf>
    <xf borderId="0" fillId="0" fontId="41" numFmtId="10" xfId="0" applyAlignment="1" applyFont="1" applyNumberFormat="1">
      <alignment horizontal="right" vertical="bottom"/>
    </xf>
    <xf borderId="0" fillId="2" fontId="30" numFmtId="0" xfId="0" applyAlignment="1" applyFont="1">
      <alignment horizontal="left"/>
    </xf>
    <xf borderId="0" fillId="0" fontId="1" numFmtId="0" xfId="0" applyAlignment="1" applyFont="1">
      <alignment vertical="bottom"/>
    </xf>
    <xf borderId="0" fillId="0" fontId="11" numFmtId="0" xfId="0" applyAlignment="1" applyFont="1">
      <alignment vertical="bottom"/>
    </xf>
    <xf borderId="0" fillId="0" fontId="11" numFmtId="10" xfId="0" applyAlignment="1" applyFont="1" applyNumberFormat="1">
      <alignment horizontal="right" vertical="bottom"/>
    </xf>
    <xf borderId="0" fillId="0" fontId="11" numFmtId="9" xfId="0" applyAlignment="1" applyFont="1" applyNumberFormat="1">
      <alignment horizontal="right" vertical="bottom"/>
    </xf>
    <xf borderId="0" fillId="0" fontId="29" numFmtId="0" xfId="0" applyAlignment="1" applyFont="1">
      <alignment vertical="bottom"/>
    </xf>
    <xf borderId="0" fillId="0" fontId="29" numFmtId="10" xfId="0" applyAlignment="1" applyFont="1" applyNumberFormat="1">
      <alignment horizontal="right" vertical="bottom"/>
    </xf>
  </cellXfs>
  <cellStyles count="1">
    <cellStyle xfId="0" name="Normal" builtinId="0"/>
  </cellStyles>
  <dxfs count="6"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8989EB"/>
          <bgColor rgb="FF8989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E8E7FC"/>
          <bgColor rgb="FFE8E7FC"/>
        </patternFill>
      </fill>
      <border/>
    </dxf>
  </dxfs>
  <tableStyles count="1">
    <tableStyle count="3" pivot="0" name="Kostenübersicht DYNO Tarife-style">
      <tableStyleElement dxfId="3" type="headerRow"/>
      <tableStyleElement dxfId="4" type="firstRowStripe"/>
      <tableStyleElement dxfId="5" type="secondRowStripe"/>
    </tableStyle>
  </tableStyles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Chart1.png"/><Relationship Id="rId2" Type="http://schemas.openxmlformats.org/officeDocument/2006/relationships/image" Target="../media/Chart2.png"/><Relationship Id="rId3" Type="http://schemas.openxmlformats.org/officeDocument/2006/relationships/image" Target="../media/Chart3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4.png"/><Relationship Id="rId3" Type="http://schemas.openxmlformats.org/officeDocument/2006/relationships/image" Target="../media/image2.png"/><Relationship Id="rId4" Type="http://schemas.openxmlformats.org/officeDocument/2006/relationships/image" Target="../media/image3.png"/><Relationship Id="rId5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1009650</xdr:colOff>
      <xdr:row>36</xdr:row>
      <xdr:rowOff>152400</xdr:rowOff>
    </xdr:from>
    <xdr:ext cx="5562600" cy="3933825"/>
    <xdr:pic>
      <xdr:nvPicPr>
        <xdr:cNvPr id="1929373635" name="Chart1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37</xdr:row>
      <xdr:rowOff>19050</xdr:rowOff>
    </xdr:from>
    <xdr:ext cx="5562600" cy="3933825"/>
    <xdr:pic>
      <xdr:nvPicPr>
        <xdr:cNvPr id="1085513869" name="Chart2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419100</xdr:colOff>
      <xdr:row>65</xdr:row>
      <xdr:rowOff>66675</xdr:rowOff>
    </xdr:from>
    <xdr:ext cx="12839700" cy="4600575"/>
    <xdr:pic>
      <xdr:nvPicPr>
        <xdr:cNvPr id="618679248" name="Chart3" title="Diagramm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447675</xdr:colOff>
      <xdr:row>171</xdr:row>
      <xdr:rowOff>57150</xdr:rowOff>
    </xdr:from>
    <xdr:ext cx="11115675" cy="5686425"/>
    <xdr:pic>
      <xdr:nvPicPr>
        <xdr:cNvPr id="0" name="image5.png" title="Bild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447675</xdr:colOff>
      <xdr:row>142</xdr:row>
      <xdr:rowOff>76200</xdr:rowOff>
    </xdr:from>
    <xdr:ext cx="9448800" cy="5210175"/>
    <xdr:pic>
      <xdr:nvPicPr>
        <xdr:cNvPr id="0" name="image4.png" title="Bild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533400</xdr:colOff>
      <xdr:row>100</xdr:row>
      <xdr:rowOff>180975</xdr:rowOff>
    </xdr:from>
    <xdr:ext cx="13782675" cy="7658100"/>
    <xdr:pic>
      <xdr:nvPicPr>
        <xdr:cNvPr id="0" name="image2.png" title="Bild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971550</xdr:colOff>
      <xdr:row>202</xdr:row>
      <xdr:rowOff>9525</xdr:rowOff>
    </xdr:from>
    <xdr:ext cx="10839450" cy="5210175"/>
    <xdr:pic>
      <xdr:nvPicPr>
        <xdr:cNvPr id="0" name="image3.png" title="Bild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847725</xdr:colOff>
      <xdr:row>239</xdr:row>
      <xdr:rowOff>38100</xdr:rowOff>
    </xdr:from>
    <xdr:ext cx="4876800" cy="3867150"/>
    <xdr:pic>
      <xdr:nvPicPr>
        <xdr:cNvPr id="0" name="image1.png" title="Bild"/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A2:D34" displayName="Table_1" name="Table_1" id="1">
  <tableColumns count="4">
    <tableColumn name="Kostenübersicht der Tarife" id="1"/>
    <tableColumn name="Alpha" id="2"/>
    <tableColumn name="Beta" id="3"/>
    <tableColumn name="Gamma" id="4"/>
  </tableColumns>
  <tableStyleInfo name="Kostenübersicht DYNO Tarif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007451"/>
      </a:accent1>
      <a:accent2>
        <a:srgbClr val="81AD61"/>
      </a:accent2>
      <a:accent3>
        <a:srgbClr val="008DA1"/>
      </a:accent3>
      <a:accent4>
        <a:srgbClr val="E4AA63"/>
      </a:accent4>
      <a:accent5>
        <a:srgbClr val="B3424C"/>
      </a:accent5>
      <a:accent6>
        <a:srgbClr val="66B3A9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Relationship Id="rId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/>
  </sheetViews>
  <sheetFormatPr customHeight="1" defaultColWidth="12.63" defaultRowHeight="15.0" outlineLevelRow="1"/>
  <cols>
    <col customWidth="1" min="1" max="1" width="5.75"/>
    <col customWidth="1" hidden="1" min="2" max="2" width="15.63"/>
    <col customWidth="1" hidden="1" min="3" max="3" width="10.88"/>
    <col customWidth="1" min="4" max="4" width="21.88"/>
    <col customWidth="1" min="5" max="5" width="11.38"/>
    <col customWidth="1" min="7" max="7" width="12.88"/>
    <col customWidth="1" min="8" max="8" width="16.38"/>
    <col customWidth="1" min="9" max="9" width="7.0"/>
    <col customWidth="1" min="10" max="10" width="14.0"/>
    <col customWidth="1" min="11" max="11" width="19.25"/>
    <col customWidth="1" min="12" max="12" width="12.0"/>
    <col customWidth="1" min="14" max="14" width="12.88"/>
    <col customWidth="1" min="15" max="15" width="13.75"/>
    <col customWidth="1" min="16" max="16" width="10.88"/>
    <col customWidth="1" min="17" max="18" width="10.13"/>
  </cols>
  <sheetData>
    <row r="1" ht="14.25" customHeight="1">
      <c r="A1" s="1"/>
      <c r="D1" s="2" t="s">
        <v>0</v>
      </c>
      <c r="E1" s="3" t="s">
        <v>1</v>
      </c>
      <c r="F1" s="4"/>
      <c r="G1" s="5"/>
      <c r="H1" s="5"/>
      <c r="I1" s="5"/>
      <c r="J1" s="5"/>
      <c r="K1" s="2" t="s">
        <v>2</v>
      </c>
      <c r="L1" s="5"/>
      <c r="M1" s="1"/>
      <c r="N1" s="1"/>
      <c r="O1" s="1"/>
      <c r="P1" s="1"/>
      <c r="Q1" s="1"/>
      <c r="R1" s="1"/>
    </row>
    <row r="2" ht="12.75" customHeight="1">
      <c r="A2" s="1"/>
      <c r="D2" s="6" t="s">
        <v>3</v>
      </c>
      <c r="E2" s="7" t="s">
        <v>4</v>
      </c>
      <c r="F2" s="8"/>
      <c r="G2" s="9"/>
      <c r="H2" s="9"/>
      <c r="I2" s="9"/>
      <c r="J2" s="9"/>
      <c r="K2" s="10" t="s">
        <v>3</v>
      </c>
      <c r="L2" s="8"/>
      <c r="M2" s="8"/>
      <c r="N2" s="11"/>
      <c r="O2" s="12" t="s">
        <v>5</v>
      </c>
      <c r="P2" s="13" t="s">
        <v>6</v>
      </c>
      <c r="Q2" s="1"/>
      <c r="R2" s="1"/>
    </row>
    <row r="3" ht="12.75" customHeight="1">
      <c r="A3" s="1"/>
      <c r="D3" s="14"/>
      <c r="G3" s="5"/>
      <c r="H3" s="5"/>
      <c r="I3" s="5"/>
      <c r="J3" s="5"/>
      <c r="K3" s="14"/>
      <c r="N3" s="1"/>
      <c r="O3" s="1"/>
      <c r="P3" s="1"/>
      <c r="Q3" s="1"/>
      <c r="R3" s="1"/>
    </row>
    <row r="4" ht="5.25" customHeight="1">
      <c r="A4" s="1"/>
      <c r="D4" s="15"/>
      <c r="E4" s="16"/>
      <c r="G4" s="17"/>
      <c r="H4" s="17"/>
      <c r="I4" s="17"/>
      <c r="J4" s="5"/>
      <c r="K4" s="15"/>
      <c r="L4" s="16"/>
      <c r="M4" s="18"/>
      <c r="N4" s="1"/>
    </row>
    <row r="5" ht="14.25" customHeight="1">
      <c r="A5" s="1"/>
      <c r="D5" s="19" t="s">
        <v>7</v>
      </c>
      <c r="E5" s="20"/>
      <c r="F5" s="20"/>
      <c r="G5" s="21"/>
      <c r="J5" s="22"/>
      <c r="K5" s="19" t="s">
        <v>7</v>
      </c>
      <c r="L5" s="20"/>
      <c r="M5" s="20"/>
      <c r="N5" s="23">
        <f> L6 * (( (1 + 0.02) ^ L10 ) - 1 ) / ( L10 * 0.02 )
</f>
        <v>488.1693364</v>
      </c>
    </row>
    <row r="6" ht="14.25" customHeight="1">
      <c r="A6" s="1"/>
      <c r="D6" s="24" t="s">
        <v>8</v>
      </c>
      <c r="E6" s="25">
        <v>338.0</v>
      </c>
      <c r="F6" s="26"/>
      <c r="G6" s="27" t="s">
        <v>9</v>
      </c>
      <c r="H6" s="28"/>
      <c r="I6" s="29"/>
      <c r="J6" s="22"/>
      <c r="K6" s="30" t="s">
        <v>8</v>
      </c>
      <c r="L6" s="25">
        <v>338.0</v>
      </c>
      <c r="M6" s="26"/>
      <c r="N6" s="27" t="s">
        <v>9</v>
      </c>
      <c r="O6" s="28"/>
      <c r="P6" s="29"/>
    </row>
    <row r="7" ht="14.25" hidden="1" customHeight="1">
      <c r="A7" s="1"/>
      <c r="D7" s="24" t="s">
        <v>10</v>
      </c>
      <c r="E7" s="25">
        <f>IF(P2="Nein",E6,N5)</f>
        <v>488.1693364</v>
      </c>
      <c r="F7" s="26"/>
      <c r="G7" s="27"/>
      <c r="H7" s="28"/>
      <c r="I7" s="29"/>
      <c r="J7" s="22"/>
      <c r="K7" s="24" t="s">
        <v>10</v>
      </c>
      <c r="L7" s="25">
        <f>IF(P2="Nein",L6,N5)</f>
        <v>488.1693364</v>
      </c>
      <c r="M7" s="26"/>
      <c r="N7" s="27"/>
      <c r="O7" s="28"/>
      <c r="P7" s="29"/>
    </row>
    <row r="8" ht="14.25" customHeight="1">
      <c r="A8" s="1"/>
      <c r="D8" s="31" t="s">
        <v>11</v>
      </c>
      <c r="E8" s="32">
        <v>35031.0</v>
      </c>
      <c r="F8" s="33"/>
      <c r="G8" s="34" t="s">
        <v>12</v>
      </c>
      <c r="H8" s="35"/>
      <c r="I8" s="36">
        <v>0.032</v>
      </c>
      <c r="J8" s="37"/>
      <c r="K8" s="38" t="s">
        <v>11</v>
      </c>
      <c r="L8" s="39">
        <f t="shared" ref="L8:L11" si="1">E8</f>
        <v>35031</v>
      </c>
      <c r="M8" s="33"/>
      <c r="N8" s="34" t="s">
        <v>12</v>
      </c>
      <c r="O8" s="35"/>
      <c r="P8" s="36">
        <v>0.032</v>
      </c>
    </row>
    <row r="9" ht="14.25" customHeight="1">
      <c r="A9" s="1"/>
      <c r="D9" s="40" t="s">
        <v>13</v>
      </c>
      <c r="E9" s="41">
        <f>DATE(YEAR(E8)+67,MONTH(E8),DAY(E8))</f>
        <v>59503</v>
      </c>
      <c r="F9" s="33"/>
      <c r="G9" s="40" t="s">
        <v>14</v>
      </c>
      <c r="H9" s="26"/>
      <c r="I9" s="36">
        <v>0.07</v>
      </c>
      <c r="J9" s="22"/>
      <c r="K9" s="42" t="s">
        <v>13</v>
      </c>
      <c r="L9" s="43">
        <f t="shared" si="1"/>
        <v>59503</v>
      </c>
      <c r="M9" s="33"/>
      <c r="N9" s="40" t="s">
        <v>14</v>
      </c>
      <c r="O9" s="26"/>
      <c r="P9" s="36">
        <v>0.07</v>
      </c>
    </row>
    <row r="10" ht="14.25" customHeight="1">
      <c r="A10" s="1"/>
      <c r="D10" s="40" t="s">
        <v>15</v>
      </c>
      <c r="E10" s="44">
        <f>datedif(TODAY(),E9,"Y")</f>
        <v>36</v>
      </c>
      <c r="F10" s="33"/>
      <c r="G10" s="34" t="s">
        <v>16</v>
      </c>
      <c r="H10" s="35"/>
      <c r="I10" s="45">
        <v>1.0</v>
      </c>
      <c r="J10" s="22"/>
      <c r="K10" s="42" t="s">
        <v>15</v>
      </c>
      <c r="L10" s="46">
        <f t="shared" si="1"/>
        <v>36</v>
      </c>
      <c r="M10" s="47"/>
      <c r="N10" s="34" t="s">
        <v>16</v>
      </c>
      <c r="O10" s="35"/>
      <c r="P10" s="45">
        <v>1.0</v>
      </c>
    </row>
    <row r="11" ht="14.25" hidden="1" customHeight="1">
      <c r="A11" s="1"/>
      <c r="D11" s="40" t="s">
        <v>17</v>
      </c>
      <c r="E11" s="48">
        <f>datedif(TODAY(),E9,"M")</f>
        <v>442</v>
      </c>
      <c r="F11" s="33"/>
      <c r="G11" s="49"/>
      <c r="H11" s="50"/>
      <c r="I11" s="51"/>
      <c r="J11" s="22"/>
      <c r="K11" s="42" t="s">
        <v>17</v>
      </c>
      <c r="L11" s="52">
        <f t="shared" si="1"/>
        <v>442</v>
      </c>
      <c r="M11" s="33"/>
      <c r="N11" s="53"/>
      <c r="P11" s="54"/>
    </row>
    <row r="12" ht="14.25" customHeight="1">
      <c r="A12" s="1"/>
      <c r="D12" s="55" t="s">
        <v>18</v>
      </c>
      <c r="E12" s="56">
        <f>+E7*E11</f>
        <v>215770.8467</v>
      </c>
      <c r="F12" s="57"/>
      <c r="G12" s="55" t="s">
        <v>19</v>
      </c>
      <c r="H12" s="58"/>
      <c r="I12" s="59">
        <f>(I10*I9)+((100%-I10)*I8)</f>
        <v>0.07</v>
      </c>
      <c r="J12" s="22"/>
      <c r="K12" s="60" t="s">
        <v>18</v>
      </c>
      <c r="L12" s="61">
        <f>+L7*L11</f>
        <v>215770.8467</v>
      </c>
      <c r="M12" s="57"/>
      <c r="N12" s="55" t="s">
        <v>19</v>
      </c>
      <c r="O12" s="58"/>
      <c r="P12" s="59">
        <f>(P10*P9)+((100%-P10)*P8)</f>
        <v>0.07</v>
      </c>
    </row>
    <row r="13" ht="14.25" customHeight="1">
      <c r="A13" s="1"/>
      <c r="D13" s="35"/>
      <c r="E13" s="35"/>
      <c r="F13" s="33"/>
      <c r="G13" s="35"/>
      <c r="H13" s="35"/>
      <c r="I13" s="35"/>
      <c r="J13" s="50"/>
      <c r="K13" s="50"/>
      <c r="M13" s="33"/>
      <c r="N13" s="35"/>
      <c r="O13" s="50"/>
      <c r="P13" s="50"/>
    </row>
    <row r="14" ht="14.25" customHeight="1">
      <c r="A14" s="1"/>
      <c r="E14" s="21"/>
      <c r="F14" s="62"/>
      <c r="G14" s="1"/>
      <c r="H14" s="1"/>
      <c r="I14" s="1"/>
      <c r="K14" s="21"/>
      <c r="M14" s="62"/>
      <c r="N14" s="1"/>
    </row>
    <row r="15" ht="14.25" customHeight="1">
      <c r="A15" s="1"/>
      <c r="D15" s="27" t="s">
        <v>20</v>
      </c>
      <c r="E15" s="63" t="s">
        <v>21</v>
      </c>
      <c r="F15" s="64" t="s">
        <v>22</v>
      </c>
      <c r="G15" s="65"/>
      <c r="H15" s="65"/>
      <c r="I15" s="35"/>
      <c r="J15" s="66"/>
      <c r="K15" s="27" t="s">
        <v>20</v>
      </c>
      <c r="L15" s="63" t="s">
        <v>21</v>
      </c>
      <c r="M15" s="64" t="s">
        <v>22</v>
      </c>
      <c r="N15" s="65"/>
      <c r="O15" s="65"/>
      <c r="P15" s="67">
        <f>L7</f>
        <v>488.1693364</v>
      </c>
    </row>
    <row r="16">
      <c r="D16" s="68" t="s">
        <v>23</v>
      </c>
      <c r="F16" s="69">
        <f>E6</f>
        <v>338</v>
      </c>
      <c r="K16" s="68" t="s">
        <v>23</v>
      </c>
      <c r="M16" s="69">
        <f>L6</f>
        <v>338</v>
      </c>
    </row>
    <row r="17" ht="14.25" customHeight="1">
      <c r="A17" s="1"/>
      <c r="D17" s="68" t="s">
        <v>24</v>
      </c>
      <c r="E17" s="70">
        <v>0.0</v>
      </c>
      <c r="F17" s="71">
        <f>(E12*E17)/H17</f>
        <v>0</v>
      </c>
      <c r="G17" s="72" t="s">
        <v>25</v>
      </c>
      <c r="H17" s="72">
        <v>60.0</v>
      </c>
      <c r="I17" s="73" t="s">
        <v>26</v>
      </c>
      <c r="J17" s="74"/>
      <c r="K17" s="68" t="s">
        <v>24</v>
      </c>
      <c r="L17" s="70">
        <v>0.02</v>
      </c>
      <c r="M17" s="71">
        <f>(L12*L17)/O17</f>
        <v>71.92361556</v>
      </c>
      <c r="N17" s="72" t="s">
        <v>25</v>
      </c>
      <c r="O17" s="72">
        <v>60.0</v>
      </c>
      <c r="P17" s="73" t="s">
        <v>26</v>
      </c>
    </row>
    <row r="18" ht="14.25" customHeight="1">
      <c r="A18" s="1"/>
      <c r="D18" s="68" t="s">
        <v>27</v>
      </c>
      <c r="E18" s="70">
        <v>0.0</v>
      </c>
      <c r="F18" s="71">
        <f>E7*E18</f>
        <v>0</v>
      </c>
      <c r="G18" s="75"/>
      <c r="H18" s="76"/>
      <c r="I18" s="35"/>
      <c r="J18" s="74"/>
      <c r="K18" s="68" t="s">
        <v>27</v>
      </c>
      <c r="L18" s="70">
        <v>0.02</v>
      </c>
      <c r="M18" s="71">
        <f>L7*L18</f>
        <v>9.763386727</v>
      </c>
      <c r="N18" s="77"/>
      <c r="O18" s="76"/>
      <c r="P18" s="35"/>
    </row>
    <row r="19" ht="14.25" hidden="1" customHeight="1">
      <c r="A19" s="35"/>
      <c r="B19" s="50"/>
      <c r="C19" s="50"/>
      <c r="D19" s="68"/>
      <c r="E19" s="78">
        <v>0.0</v>
      </c>
      <c r="F19" s="79"/>
      <c r="G19" s="77"/>
      <c r="H19" s="76"/>
      <c r="I19" s="35"/>
      <c r="J19" s="74"/>
      <c r="K19" s="68"/>
      <c r="L19" s="78">
        <v>0.0</v>
      </c>
      <c r="M19" s="79"/>
      <c r="N19" s="77"/>
      <c r="O19" s="76"/>
      <c r="P19" s="35"/>
    </row>
    <row r="20" ht="14.25" hidden="1" customHeight="1">
      <c r="A20" s="35"/>
      <c r="B20" s="50"/>
      <c r="C20" s="50"/>
      <c r="D20" s="68"/>
      <c r="E20" s="78">
        <v>0.0</v>
      </c>
      <c r="F20" s="79"/>
      <c r="G20" s="75"/>
      <c r="H20" s="80"/>
      <c r="I20" s="35"/>
      <c r="J20" s="74"/>
      <c r="K20" s="68"/>
      <c r="L20" s="78">
        <v>0.0</v>
      </c>
      <c r="M20" s="79"/>
      <c r="N20" s="77"/>
      <c r="O20" s="80"/>
      <c r="P20" s="35"/>
    </row>
    <row r="21" ht="14.25" customHeight="1">
      <c r="A21" s="81"/>
      <c r="B21" s="26"/>
      <c r="C21" s="26"/>
      <c r="D21" s="68" t="s">
        <v>28</v>
      </c>
      <c r="E21" s="70">
        <v>0.0069</v>
      </c>
      <c r="F21" s="82">
        <f>(E7-F17-F18)*(E21/12)</f>
        <v>0.2806973684</v>
      </c>
      <c r="G21" s="75"/>
      <c r="H21" s="80"/>
      <c r="I21" s="35"/>
      <c r="J21" s="74"/>
      <c r="K21" s="68" t="s">
        <v>28</v>
      </c>
      <c r="L21" s="70">
        <v>0.0069</v>
      </c>
      <c r="M21" s="82">
        <f>(L7-M17-M18)*(L21/12)</f>
        <v>0.2337273421</v>
      </c>
      <c r="N21" s="77"/>
      <c r="O21" s="80"/>
      <c r="P21" s="35"/>
      <c r="Q21" s="83"/>
      <c r="R21" s="83"/>
    </row>
    <row r="22" ht="14.25" customHeight="1">
      <c r="A22" s="84"/>
      <c r="B22" s="85"/>
      <c r="C22" s="85"/>
      <c r="D22" s="86" t="str">
        <f>IF(E22&lt;&gt;0,"Stückkosten (kappa)","")</f>
        <v/>
      </c>
      <c r="E22" s="57"/>
      <c r="F22" s="87" t="str">
        <f>IF(E22="","",E22/12)</f>
        <v/>
      </c>
      <c r="G22" s="35"/>
      <c r="H22" s="26"/>
      <c r="I22" s="35"/>
      <c r="J22" s="35"/>
      <c r="K22" s="86" t="str">
        <f>IF(L22&lt;&gt;0,"Stückkosten (kappa)","")</f>
        <v/>
      </c>
      <c r="L22" s="57"/>
      <c r="M22" s="87" t="str">
        <f>IF(L22="","",L22/12)</f>
        <v/>
      </c>
      <c r="N22" s="35"/>
      <c r="O22" s="26"/>
      <c r="P22" s="35"/>
      <c r="Q22" s="88"/>
      <c r="R22" s="88"/>
    </row>
    <row r="23" ht="14.25" customHeight="1">
      <c r="A23" s="84"/>
      <c r="B23" s="89"/>
      <c r="C23" s="90"/>
      <c r="D23" s="91" t="s">
        <v>29</v>
      </c>
      <c r="F23" s="92">
        <f>SUM(F17:F22)</f>
        <v>0.2806973684</v>
      </c>
      <c r="G23" s="35"/>
      <c r="H23" s="26"/>
      <c r="I23" s="35"/>
      <c r="J23" s="35"/>
      <c r="K23" s="91" t="s">
        <v>29</v>
      </c>
      <c r="M23" s="92">
        <f>SUM(M17:M22)</f>
        <v>81.92072963</v>
      </c>
      <c r="N23" s="35"/>
      <c r="O23" s="26"/>
      <c r="P23" s="35"/>
      <c r="Q23" s="88"/>
      <c r="R23" s="88"/>
    </row>
    <row r="24" ht="14.25" customHeight="1">
      <c r="A24" s="84"/>
      <c r="B24" s="89"/>
      <c r="C24" s="90"/>
      <c r="D24" s="93" t="s">
        <v>30</v>
      </c>
      <c r="E24" s="94">
        <v>0.0</v>
      </c>
      <c r="F24" s="95">
        <f>F23/E7</f>
        <v>0.000575</v>
      </c>
      <c r="G24" s="35"/>
      <c r="H24" s="26"/>
      <c r="I24" s="35"/>
      <c r="J24" s="35"/>
      <c r="K24" s="93" t="s">
        <v>30</v>
      </c>
      <c r="L24" s="96"/>
      <c r="M24" s="95">
        <f>M23/L7</f>
        <v>0.1678121167</v>
      </c>
      <c r="N24" s="35"/>
      <c r="O24" s="26"/>
      <c r="P24" s="35"/>
      <c r="Q24" s="88"/>
      <c r="R24" s="88"/>
    </row>
    <row r="25" ht="14.25" customHeight="1">
      <c r="A25" s="84"/>
      <c r="B25" s="89"/>
      <c r="C25" s="90"/>
      <c r="D25" s="35"/>
      <c r="E25" s="97"/>
      <c r="F25" s="98"/>
      <c r="G25" s="35"/>
      <c r="H25" s="26"/>
      <c r="I25" s="35"/>
      <c r="J25" s="35"/>
      <c r="K25" s="35"/>
      <c r="L25" s="99"/>
      <c r="M25" s="98"/>
      <c r="N25" s="35"/>
      <c r="O25" s="26"/>
      <c r="P25" s="35"/>
      <c r="Q25" s="88"/>
      <c r="R25" s="88"/>
    </row>
    <row r="26" ht="14.25" customHeight="1">
      <c r="A26" s="84"/>
      <c r="B26" s="89"/>
      <c r="C26" s="90"/>
      <c r="D26" s="100" t="s">
        <v>31</v>
      </c>
      <c r="E26" s="101"/>
      <c r="F26" s="102">
        <f>F16-F23</f>
        <v>337.7193026</v>
      </c>
      <c r="G26" s="103"/>
      <c r="H26" s="104"/>
      <c r="I26" s="103"/>
      <c r="J26" s="103"/>
      <c r="K26" s="103" t="s">
        <v>31</v>
      </c>
      <c r="L26" s="105"/>
      <c r="M26" s="102">
        <f>M16-M23</f>
        <v>256.0792704</v>
      </c>
      <c r="N26" s="35"/>
      <c r="O26" s="26"/>
      <c r="P26" s="35"/>
      <c r="Q26" s="88">
        <v>238.0</v>
      </c>
      <c r="R26" s="88"/>
    </row>
    <row r="27" ht="8.25" customHeight="1">
      <c r="A27" s="85"/>
      <c r="B27" s="89"/>
      <c r="C27" s="106"/>
      <c r="Q27" s="107"/>
      <c r="R27" s="107"/>
    </row>
    <row r="28" ht="14.25" customHeight="1">
      <c r="A28" s="85"/>
      <c r="B28" s="89"/>
      <c r="C28" s="106"/>
      <c r="D28" s="19" t="s">
        <v>32</v>
      </c>
      <c r="K28" s="19" t="s">
        <v>32</v>
      </c>
      <c r="Q28" s="107"/>
      <c r="R28" s="107"/>
    </row>
    <row r="29" ht="14.25" customHeight="1">
      <c r="A29" s="85"/>
      <c r="B29" s="89"/>
      <c r="C29" s="106" t="s">
        <v>33</v>
      </c>
      <c r="D29" s="27" t="s">
        <v>34</v>
      </c>
      <c r="E29" s="108"/>
      <c r="F29" s="109"/>
      <c r="K29" s="27" t="s">
        <v>35</v>
      </c>
      <c r="L29" s="108"/>
      <c r="M29" s="109"/>
      <c r="Q29" s="107"/>
      <c r="R29" s="107"/>
    </row>
    <row r="30">
      <c r="A30" s="85"/>
      <c r="B30" s="89"/>
      <c r="C30" s="106" t="s">
        <v>36</v>
      </c>
      <c r="D30" s="110" t="s">
        <v>37</v>
      </c>
      <c r="E30" s="111"/>
      <c r="F30" s="112">
        <f>SUM(G103:G163)</f>
        <v>572.1746129</v>
      </c>
      <c r="K30" s="110" t="s">
        <v>37</v>
      </c>
      <c r="M30" s="112">
        <f>SUM(N103:N163)</f>
        <v>5387.414251</v>
      </c>
      <c r="Q30" s="88"/>
      <c r="R30" s="88"/>
    </row>
    <row r="31" ht="7.5" customHeight="1">
      <c r="A31" s="85"/>
      <c r="B31" s="89"/>
      <c r="C31" s="106" t="s">
        <v>38</v>
      </c>
      <c r="D31" s="53"/>
      <c r="F31" s="54"/>
      <c r="K31" s="53"/>
      <c r="M31" s="54"/>
      <c r="Q31" s="88"/>
      <c r="R31" s="88"/>
    </row>
    <row r="32" ht="14.25" customHeight="1">
      <c r="A32" s="85"/>
      <c r="B32" s="89"/>
      <c r="C32" s="106"/>
      <c r="D32" s="113" t="s">
        <v>39</v>
      </c>
      <c r="E32" s="114"/>
      <c r="F32" s="115">
        <f>VLOOKUP(E11,$E$103:$F$823,2,TRUE)</f>
        <v>809852.2155</v>
      </c>
      <c r="K32" s="113" t="s">
        <v>39</v>
      </c>
      <c r="L32" s="114"/>
      <c r="M32" s="115">
        <f>VLOOKUP(E11,$L$103:$M$823,2,TRUE)</f>
        <v>758663.1317</v>
      </c>
      <c r="Q32" s="107"/>
      <c r="R32" s="107"/>
    </row>
    <row r="33" ht="14.25" customHeight="1">
      <c r="A33" s="85"/>
      <c r="B33" s="89"/>
      <c r="C33" s="106"/>
      <c r="Q33" s="107"/>
      <c r="R33" s="107"/>
    </row>
    <row r="34" ht="14.25" customHeight="1">
      <c r="A34" s="35"/>
      <c r="B34" s="116"/>
      <c r="C34" s="116"/>
      <c r="D34" s="117" t="str">
        <f>IF(F34&lt;0,"Differenz auf Laufzeit  ❌","Differenz auf Laufzeit ✅")</f>
        <v>Differenz auf Laufzeit ✅</v>
      </c>
      <c r="E34" s="8"/>
      <c r="F34" s="118">
        <f>(F32-M32)</f>
        <v>51189.08377</v>
      </c>
      <c r="K34" s="117" t="str">
        <f>IF(M34&lt;0,"Differenz auf Laufzeit  ❌","Differenz auf Laufzeit ✅")</f>
        <v>Differenz auf Laufzeit  ❌</v>
      </c>
      <c r="L34" s="8"/>
      <c r="M34" s="118">
        <f>(M32-F32)</f>
        <v>-51189.08377</v>
      </c>
      <c r="N34" s="119"/>
      <c r="O34" s="119"/>
      <c r="P34" s="120"/>
      <c r="Q34" s="83"/>
      <c r="R34" s="83"/>
    </row>
    <row r="35" ht="14.25" customHeight="1">
      <c r="A35" s="35"/>
      <c r="B35" s="116"/>
      <c r="C35" s="116"/>
      <c r="D35" s="14"/>
      <c r="F35" s="14"/>
      <c r="G35" s="121"/>
      <c r="H35" s="121"/>
      <c r="I35" s="121"/>
      <c r="J35" s="121"/>
      <c r="K35" s="14"/>
      <c r="M35" s="14"/>
      <c r="N35" s="119"/>
      <c r="O35" s="119"/>
      <c r="P35" s="120"/>
      <c r="Q35" s="83"/>
      <c r="R35" s="83"/>
    </row>
    <row r="36" ht="14.25" customHeight="1">
      <c r="A36" s="35"/>
      <c r="B36" s="116"/>
      <c r="C36" s="116"/>
      <c r="D36" s="122"/>
      <c r="E36" s="122"/>
      <c r="F36" s="116"/>
      <c r="G36" s="116"/>
      <c r="H36" s="116"/>
      <c r="I36" s="116"/>
      <c r="J36" s="122"/>
      <c r="K36" s="122"/>
      <c r="L36" s="122"/>
      <c r="M36" s="116"/>
      <c r="N36" s="119"/>
      <c r="O36" s="119"/>
      <c r="P36" s="120"/>
      <c r="Q36" s="83"/>
      <c r="R36" s="83"/>
    </row>
    <row r="37" ht="14.25" customHeight="1">
      <c r="A37" s="35"/>
      <c r="B37" s="116"/>
      <c r="C37" s="116"/>
      <c r="D37" s="122"/>
      <c r="E37" s="122"/>
      <c r="F37" s="116"/>
      <c r="G37" s="116"/>
      <c r="H37" s="116"/>
      <c r="I37" s="116"/>
      <c r="J37" s="122"/>
      <c r="N37" s="119"/>
      <c r="O37" s="119"/>
      <c r="P37" s="120"/>
      <c r="Q37" s="83"/>
      <c r="R37" s="83"/>
    </row>
    <row r="38" ht="14.25" customHeight="1">
      <c r="A38" s="35"/>
      <c r="B38" s="116"/>
      <c r="C38" s="116"/>
      <c r="D38" s="122"/>
      <c r="E38" s="122"/>
      <c r="F38" s="116"/>
      <c r="G38" s="116"/>
      <c r="H38" s="116"/>
      <c r="I38" s="116"/>
      <c r="J38" s="122"/>
      <c r="N38" s="119"/>
      <c r="O38" s="119"/>
      <c r="P38" s="120"/>
      <c r="Q38" s="83"/>
      <c r="R38" s="83"/>
    </row>
    <row r="39" ht="14.25" customHeight="1">
      <c r="A39" s="35"/>
      <c r="B39" s="116"/>
      <c r="C39" s="116"/>
      <c r="D39" s="122"/>
      <c r="E39" s="122"/>
      <c r="F39" s="116"/>
      <c r="G39" s="116"/>
      <c r="H39" s="116"/>
      <c r="I39" s="116"/>
      <c r="J39" s="122"/>
      <c r="N39" s="119"/>
      <c r="O39" s="119"/>
      <c r="P39" s="120"/>
      <c r="Q39" s="83"/>
      <c r="R39" s="83"/>
    </row>
    <row r="40" ht="14.25" customHeight="1">
      <c r="A40" s="35"/>
      <c r="B40" s="116"/>
      <c r="C40" s="116"/>
      <c r="D40" s="122"/>
      <c r="E40" s="122"/>
      <c r="F40" s="116"/>
      <c r="G40" s="116"/>
      <c r="H40" s="116"/>
      <c r="I40" s="116"/>
      <c r="J40" s="122"/>
      <c r="N40" s="119"/>
      <c r="O40" s="119"/>
      <c r="P40" s="120"/>
      <c r="Q40" s="83"/>
      <c r="R40" s="83"/>
    </row>
    <row r="41" ht="14.25" customHeight="1">
      <c r="A41" s="35"/>
      <c r="B41" s="116"/>
      <c r="C41" s="116"/>
      <c r="D41" s="122"/>
      <c r="E41" s="122"/>
      <c r="F41" s="116"/>
      <c r="G41" s="116"/>
      <c r="H41" s="116"/>
      <c r="I41" s="116"/>
      <c r="J41" s="122"/>
      <c r="N41" s="119"/>
      <c r="O41" s="119"/>
      <c r="P41" s="120"/>
      <c r="Q41" s="83"/>
      <c r="R41" s="83"/>
    </row>
    <row r="42" ht="14.25" customHeight="1">
      <c r="A42" s="35"/>
      <c r="B42" s="116"/>
      <c r="C42" s="116"/>
      <c r="D42" s="122"/>
      <c r="E42" s="122"/>
      <c r="F42" s="116"/>
      <c r="G42" s="116"/>
      <c r="H42" s="116"/>
      <c r="I42" s="116"/>
      <c r="J42" s="122"/>
      <c r="N42" s="119"/>
      <c r="O42" s="119"/>
      <c r="P42" s="120"/>
      <c r="Q42" s="83"/>
      <c r="R42" s="83"/>
    </row>
    <row r="43" ht="14.25" customHeight="1">
      <c r="A43" s="35"/>
      <c r="B43" s="116"/>
      <c r="C43" s="116"/>
      <c r="D43" s="122"/>
      <c r="E43" s="122"/>
      <c r="F43" s="116"/>
      <c r="G43" s="116"/>
      <c r="H43" s="116"/>
      <c r="I43" s="116"/>
      <c r="J43" s="122"/>
      <c r="N43" s="119"/>
      <c r="O43" s="119"/>
      <c r="P43" s="120"/>
      <c r="Q43" s="83"/>
      <c r="R43" s="83"/>
    </row>
    <row r="44" ht="14.25" customHeight="1">
      <c r="A44" s="35"/>
      <c r="B44" s="116"/>
      <c r="C44" s="116"/>
      <c r="D44" s="122"/>
      <c r="E44" s="122"/>
      <c r="F44" s="116"/>
      <c r="G44" s="116"/>
      <c r="H44" s="116"/>
      <c r="I44" s="116"/>
      <c r="J44" s="122"/>
      <c r="N44" s="119"/>
      <c r="O44" s="119"/>
      <c r="P44" s="120"/>
      <c r="Q44" s="83"/>
      <c r="R44" s="83"/>
    </row>
    <row r="45" ht="14.25" customHeight="1">
      <c r="A45" s="35"/>
      <c r="B45" s="116"/>
      <c r="C45" s="116"/>
      <c r="D45" s="122"/>
      <c r="E45" s="122"/>
      <c r="F45" s="116"/>
      <c r="G45" s="116"/>
      <c r="H45" s="116"/>
      <c r="I45" s="116"/>
      <c r="J45" s="122"/>
      <c r="N45" s="119"/>
      <c r="O45" s="119"/>
      <c r="P45" s="120"/>
      <c r="Q45" s="83"/>
      <c r="R45" s="83"/>
    </row>
    <row r="46" ht="14.25" customHeight="1">
      <c r="A46" s="35"/>
      <c r="B46" s="116"/>
      <c r="C46" s="116"/>
      <c r="D46" s="122"/>
      <c r="E46" s="122"/>
      <c r="F46" s="116"/>
      <c r="G46" s="116"/>
      <c r="H46" s="116"/>
      <c r="I46" s="116"/>
      <c r="J46" s="122"/>
      <c r="N46" s="119"/>
      <c r="O46" s="119"/>
      <c r="P46" s="120"/>
      <c r="Q46" s="83"/>
      <c r="R46" s="83"/>
    </row>
    <row r="47" ht="14.25" customHeight="1">
      <c r="A47" s="35"/>
      <c r="B47" s="116"/>
      <c r="C47" s="116"/>
      <c r="D47" s="122"/>
      <c r="E47" s="122"/>
      <c r="F47" s="116"/>
      <c r="G47" s="116"/>
      <c r="H47" s="116"/>
      <c r="I47" s="116"/>
      <c r="J47" s="122"/>
      <c r="N47" s="119"/>
      <c r="O47" s="119"/>
      <c r="P47" s="120"/>
      <c r="Q47" s="83"/>
      <c r="R47" s="83"/>
    </row>
    <row r="48" ht="14.25" customHeight="1">
      <c r="A48" s="35"/>
      <c r="B48" s="116"/>
      <c r="C48" s="116"/>
      <c r="D48" s="122"/>
      <c r="E48" s="122"/>
      <c r="F48" s="116"/>
      <c r="G48" s="116"/>
      <c r="H48" s="116"/>
      <c r="I48" s="116"/>
      <c r="J48" s="122"/>
      <c r="N48" s="119"/>
      <c r="O48" s="119"/>
      <c r="P48" s="120"/>
      <c r="Q48" s="83"/>
      <c r="R48" s="83"/>
    </row>
    <row r="49" ht="14.25" customHeight="1">
      <c r="A49" s="35"/>
      <c r="B49" s="116"/>
      <c r="C49" s="116"/>
      <c r="D49" s="122"/>
      <c r="E49" s="122"/>
      <c r="F49" s="116"/>
      <c r="G49" s="116"/>
      <c r="H49" s="116"/>
      <c r="I49" s="116"/>
      <c r="J49" s="122"/>
      <c r="N49" s="119"/>
      <c r="O49" s="119"/>
      <c r="P49" s="120"/>
      <c r="Q49" s="83"/>
      <c r="R49" s="83"/>
    </row>
    <row r="50" ht="14.25" customHeight="1">
      <c r="A50" s="35"/>
      <c r="B50" s="116"/>
      <c r="C50" s="116"/>
      <c r="D50" s="122"/>
      <c r="E50" s="122"/>
      <c r="F50" s="116"/>
      <c r="G50" s="116"/>
      <c r="H50" s="116"/>
      <c r="I50" s="116"/>
      <c r="J50" s="122"/>
      <c r="N50" s="119"/>
      <c r="O50" s="119"/>
      <c r="P50" s="120"/>
      <c r="Q50" s="83"/>
      <c r="R50" s="83"/>
    </row>
    <row r="51" ht="14.25" customHeight="1">
      <c r="A51" s="35"/>
      <c r="B51" s="116"/>
      <c r="C51" s="116"/>
      <c r="D51" s="122"/>
      <c r="E51" s="122"/>
      <c r="F51" s="116"/>
      <c r="G51" s="116"/>
      <c r="H51" s="116"/>
      <c r="I51" s="116"/>
      <c r="J51" s="122"/>
      <c r="N51" s="119"/>
      <c r="O51" s="119"/>
      <c r="P51" s="120"/>
      <c r="Q51" s="83"/>
      <c r="R51" s="83"/>
    </row>
    <row r="52" ht="14.25" customHeight="1">
      <c r="A52" s="35"/>
      <c r="B52" s="116"/>
      <c r="C52" s="116"/>
      <c r="D52" s="122"/>
      <c r="E52" s="122"/>
      <c r="F52" s="116"/>
      <c r="G52" s="116"/>
      <c r="H52" s="116"/>
      <c r="I52" s="116"/>
      <c r="J52" s="122"/>
      <c r="N52" s="119"/>
      <c r="O52" s="119"/>
      <c r="P52" s="120"/>
      <c r="Q52" s="83"/>
      <c r="R52" s="83"/>
    </row>
    <row r="53" ht="14.25" hidden="1" customHeight="1">
      <c r="A53" s="35"/>
      <c r="B53" s="116"/>
      <c r="C53" s="116"/>
      <c r="D53" s="123" t="s">
        <v>40</v>
      </c>
      <c r="E53" s="124"/>
      <c r="F53" s="116"/>
      <c r="G53" s="116"/>
      <c r="H53" s="116"/>
      <c r="I53" s="116"/>
      <c r="J53" s="122"/>
      <c r="K53" s="123" t="s">
        <v>41</v>
      </c>
      <c r="L53" s="124"/>
      <c r="M53" s="116"/>
      <c r="N53" s="125"/>
      <c r="O53" s="126"/>
      <c r="P53" s="120" t="str">
        <f>K2</f>
        <v>Versicherer</v>
      </c>
      <c r="Q53" s="83"/>
      <c r="R53" s="83"/>
    </row>
    <row r="54" ht="14.25" hidden="1" customHeight="1">
      <c r="A54" s="35"/>
      <c r="B54" s="116"/>
      <c r="C54" s="116"/>
      <c r="D54" s="127" t="s">
        <v>18</v>
      </c>
      <c r="E54" s="128">
        <f>+E12</f>
        <v>215770.8467</v>
      </c>
      <c r="F54" s="129"/>
      <c r="G54" s="116"/>
      <c r="H54" s="116"/>
      <c r="I54" s="116"/>
      <c r="J54" s="75"/>
      <c r="K54" s="127" t="s">
        <v>18</v>
      </c>
      <c r="L54" s="128">
        <f>+L12</f>
        <v>215770.8467</v>
      </c>
      <c r="M54" s="26"/>
      <c r="Q54" s="130"/>
      <c r="R54" s="130"/>
    </row>
    <row r="55" ht="14.25" hidden="1" customHeight="1">
      <c r="A55" s="35"/>
      <c r="B55" s="116"/>
      <c r="C55" s="116"/>
      <c r="D55" s="127" t="s">
        <v>42</v>
      </c>
      <c r="E55" s="128">
        <f>E7*60</f>
        <v>29290.16018</v>
      </c>
      <c r="F55" s="116"/>
      <c r="G55" s="116"/>
      <c r="H55" s="26"/>
      <c r="I55" s="116"/>
      <c r="J55" s="75"/>
      <c r="K55" s="127" t="s">
        <v>42</v>
      </c>
      <c r="L55" s="128">
        <f>60*L7</f>
        <v>29290.16018</v>
      </c>
      <c r="M55" s="26"/>
      <c r="P55" s="131"/>
      <c r="Q55" s="130"/>
      <c r="R55" s="130"/>
    </row>
    <row r="56" ht="14.25" hidden="1" customHeight="1">
      <c r="A56" s="35"/>
      <c r="B56" s="116"/>
      <c r="C56" s="116"/>
      <c r="D56" s="127" t="s">
        <v>37</v>
      </c>
      <c r="E56" s="128">
        <f>SUM(G103:G163)</f>
        <v>572.1746129</v>
      </c>
      <c r="F56" s="116"/>
      <c r="G56" s="116"/>
      <c r="H56" s="26"/>
      <c r="I56" s="116"/>
      <c r="J56" s="75"/>
      <c r="K56" s="127" t="s">
        <v>37</v>
      </c>
      <c r="L56" s="128">
        <f>SUM(N103:N163)</f>
        <v>5387.414251</v>
      </c>
      <c r="M56" s="26"/>
      <c r="P56" s="131"/>
      <c r="Q56" s="130"/>
      <c r="R56" s="130"/>
    </row>
    <row r="57" ht="14.25" hidden="1" customHeight="1">
      <c r="A57" s="35"/>
      <c r="B57" s="116"/>
      <c r="C57" s="116"/>
      <c r="D57" s="127" t="s">
        <v>43</v>
      </c>
      <c r="E57" s="128">
        <f>+VLOOKUP(E11,E103:I823,5,1)</f>
        <v>67625.31615</v>
      </c>
      <c r="F57" s="116"/>
      <c r="G57" s="116"/>
      <c r="H57" s="26"/>
      <c r="I57" s="116"/>
      <c r="J57" s="75"/>
      <c r="K57" s="127" t="s">
        <v>43</v>
      </c>
      <c r="L57" s="128">
        <f>+VLOOKUP(L11,L103:O823,4,1)</f>
        <v>71339.29959</v>
      </c>
      <c r="M57" s="26"/>
      <c r="P57" s="131"/>
      <c r="Q57" s="130"/>
      <c r="R57" s="130"/>
    </row>
    <row r="58" ht="14.25" hidden="1" customHeight="1">
      <c r="A58" s="35"/>
      <c r="B58" s="132">
        <f>(N58/300)*-1</f>
        <v>0</v>
      </c>
      <c r="C58" s="116"/>
      <c r="D58" s="116"/>
      <c r="E58" s="116"/>
      <c r="F58" s="116"/>
      <c r="G58" s="116"/>
      <c r="H58" s="26"/>
      <c r="I58" s="116"/>
      <c r="J58" s="116"/>
      <c r="K58" s="116"/>
      <c r="L58" s="116"/>
      <c r="M58" s="116"/>
      <c r="Q58" s="133"/>
      <c r="R58" s="133"/>
    </row>
    <row r="59" ht="14.25" customHeight="1">
      <c r="A59" s="35"/>
      <c r="B59" s="132"/>
      <c r="C59" s="116"/>
      <c r="D59" s="35"/>
      <c r="E59" s="35"/>
      <c r="F59" s="35"/>
      <c r="G59" s="35"/>
      <c r="H59" s="26"/>
      <c r="I59" s="116"/>
      <c r="J59" s="35"/>
      <c r="K59" s="35"/>
      <c r="L59" s="35"/>
      <c r="M59" s="35"/>
      <c r="Q59" s="133"/>
      <c r="R59" s="133"/>
    </row>
    <row r="60" ht="14.25" customHeight="1">
      <c r="A60" s="35"/>
      <c r="B60" s="132"/>
      <c r="C60" s="116"/>
      <c r="D60" s="35"/>
      <c r="E60" s="35"/>
      <c r="F60" s="35"/>
      <c r="G60" s="35"/>
      <c r="H60" s="26"/>
      <c r="I60" s="116"/>
      <c r="J60" s="35"/>
      <c r="K60" s="35"/>
      <c r="L60" s="35"/>
      <c r="M60" s="35"/>
      <c r="Q60" s="133"/>
      <c r="R60" s="133"/>
    </row>
    <row r="61" ht="14.25" customHeight="1">
      <c r="A61" s="35"/>
      <c r="B61" s="132"/>
      <c r="C61" s="116"/>
      <c r="D61" s="35"/>
      <c r="E61" s="35"/>
      <c r="F61" s="35"/>
      <c r="G61" s="35"/>
      <c r="H61" s="26"/>
      <c r="I61" s="116"/>
      <c r="J61" s="35"/>
      <c r="K61" s="35"/>
      <c r="L61" s="35"/>
      <c r="M61" s="35"/>
      <c r="Q61" s="133"/>
      <c r="R61" s="133"/>
    </row>
    <row r="62" ht="14.25" customHeight="1">
      <c r="A62" s="35"/>
      <c r="B62" s="132"/>
      <c r="C62" s="116"/>
      <c r="D62" s="35"/>
      <c r="E62" s="35"/>
      <c r="F62" s="35"/>
      <c r="G62" s="35"/>
      <c r="H62" s="26"/>
      <c r="I62" s="116"/>
      <c r="J62" s="35"/>
      <c r="K62" s="35"/>
      <c r="L62" s="35"/>
      <c r="M62" s="35"/>
      <c r="Q62" s="133"/>
      <c r="R62" s="133"/>
    </row>
    <row r="63" ht="14.25" customHeight="1">
      <c r="A63" s="35"/>
      <c r="B63" s="132"/>
      <c r="C63" s="116"/>
      <c r="D63" s="35"/>
      <c r="E63" s="35"/>
      <c r="F63" s="35"/>
      <c r="G63" s="35"/>
      <c r="H63" s="26"/>
      <c r="I63" s="116"/>
      <c r="J63" s="35"/>
      <c r="K63" s="35"/>
      <c r="L63" s="35"/>
      <c r="M63" s="35"/>
      <c r="Q63" s="133"/>
      <c r="R63" s="133"/>
    </row>
    <row r="64" ht="14.25" customHeight="1">
      <c r="A64" s="35"/>
      <c r="B64" s="132"/>
      <c r="C64" s="116"/>
      <c r="D64" s="35"/>
      <c r="E64" s="35"/>
      <c r="F64" s="35"/>
      <c r="G64" s="35"/>
      <c r="H64" s="26"/>
      <c r="I64" s="116"/>
      <c r="J64" s="35"/>
      <c r="K64" s="35"/>
      <c r="L64" s="35"/>
      <c r="M64" s="35"/>
      <c r="Q64" s="133"/>
      <c r="R64" s="133"/>
    </row>
    <row r="65" ht="14.25" customHeight="1">
      <c r="A65" s="35"/>
      <c r="B65" s="132"/>
      <c r="C65" s="116"/>
      <c r="D65" s="35"/>
      <c r="E65" s="35"/>
      <c r="F65" s="35"/>
      <c r="G65" s="35"/>
      <c r="H65" s="26"/>
      <c r="I65" s="116"/>
      <c r="J65" s="35"/>
      <c r="K65" s="35"/>
      <c r="L65" s="35"/>
      <c r="M65" s="35"/>
      <c r="Q65" s="133"/>
      <c r="R65" s="133"/>
    </row>
    <row r="66" ht="14.25" customHeight="1">
      <c r="A66" s="35"/>
      <c r="B66" s="132"/>
      <c r="C66" s="116"/>
      <c r="D66" s="35"/>
      <c r="E66" s="35"/>
      <c r="F66" s="35"/>
      <c r="G66" s="35"/>
      <c r="H66" s="26"/>
      <c r="I66" s="116"/>
      <c r="J66" s="35"/>
      <c r="K66" s="35"/>
      <c r="L66" s="35"/>
      <c r="M66" s="35"/>
      <c r="Q66" s="133"/>
      <c r="R66" s="133"/>
    </row>
    <row r="67" ht="14.25" customHeight="1">
      <c r="A67" s="35"/>
      <c r="B67" s="132"/>
      <c r="C67" s="116"/>
      <c r="D67" s="35"/>
      <c r="E67" s="35"/>
      <c r="F67" s="35"/>
      <c r="G67" s="35"/>
      <c r="H67" s="26"/>
      <c r="I67" s="116"/>
      <c r="J67" s="35"/>
      <c r="K67" s="35"/>
      <c r="L67" s="35"/>
      <c r="M67" s="35"/>
      <c r="Q67" s="133"/>
      <c r="R67" s="133"/>
    </row>
    <row r="68" ht="14.25" customHeight="1">
      <c r="A68" s="35"/>
      <c r="B68" s="132"/>
      <c r="C68" s="116"/>
      <c r="D68" s="35"/>
      <c r="E68" s="35"/>
      <c r="F68" s="35"/>
      <c r="G68" s="35"/>
      <c r="H68" s="26"/>
      <c r="I68" s="116"/>
      <c r="J68" s="35"/>
      <c r="K68" s="35"/>
      <c r="L68" s="35"/>
      <c r="M68" s="35"/>
      <c r="Q68" s="133"/>
      <c r="R68" s="133"/>
    </row>
    <row r="69" ht="14.25" customHeight="1">
      <c r="A69" s="35"/>
      <c r="B69" s="132"/>
      <c r="C69" s="116"/>
      <c r="D69" s="35"/>
      <c r="E69" s="35"/>
      <c r="F69" s="35"/>
      <c r="G69" s="35"/>
      <c r="H69" s="26"/>
      <c r="I69" s="116"/>
      <c r="J69" s="35"/>
      <c r="K69" s="35"/>
      <c r="L69" s="35"/>
      <c r="M69" s="35"/>
      <c r="Q69" s="133"/>
      <c r="R69" s="133"/>
    </row>
    <row r="70" ht="14.25" customHeight="1">
      <c r="A70" s="35"/>
      <c r="B70" s="132"/>
      <c r="C70" s="116"/>
      <c r="D70" s="35"/>
      <c r="E70" s="35"/>
      <c r="F70" s="35"/>
      <c r="G70" s="35"/>
      <c r="H70" s="26"/>
      <c r="I70" s="116"/>
      <c r="J70" s="35"/>
      <c r="K70" s="35"/>
      <c r="L70" s="35"/>
      <c r="M70" s="35"/>
      <c r="Q70" s="133"/>
      <c r="R70" s="133"/>
    </row>
    <row r="71" ht="14.25" customHeight="1">
      <c r="A71" s="35"/>
      <c r="B71" s="132"/>
      <c r="C71" s="116"/>
      <c r="D71" s="35"/>
      <c r="E71" s="35"/>
      <c r="F71" s="35"/>
      <c r="G71" s="35"/>
      <c r="H71" s="26"/>
      <c r="I71" s="116"/>
      <c r="J71" s="35"/>
      <c r="K71" s="35"/>
      <c r="L71" s="35"/>
      <c r="M71" s="35"/>
      <c r="Q71" s="133"/>
      <c r="R71" s="133"/>
    </row>
    <row r="72" ht="14.25" customHeight="1">
      <c r="A72" s="35"/>
      <c r="B72" s="132"/>
      <c r="C72" s="116"/>
      <c r="D72" s="35"/>
      <c r="E72" s="35"/>
      <c r="F72" s="35"/>
      <c r="G72" s="35"/>
      <c r="H72" s="26"/>
      <c r="I72" s="116"/>
      <c r="J72" s="35"/>
      <c r="K72" s="35"/>
      <c r="L72" s="35"/>
      <c r="M72" s="35"/>
      <c r="Q72" s="133"/>
      <c r="R72" s="133"/>
    </row>
    <row r="73" ht="14.25" customHeight="1">
      <c r="A73" s="35"/>
      <c r="B73" s="132"/>
      <c r="C73" s="116"/>
      <c r="D73" s="35"/>
      <c r="E73" s="35"/>
      <c r="F73" s="35"/>
      <c r="G73" s="35"/>
      <c r="H73" s="26"/>
      <c r="I73" s="116"/>
      <c r="J73" s="35"/>
      <c r="K73" s="35"/>
      <c r="L73" s="35"/>
      <c r="M73" s="35"/>
      <c r="Q73" s="133"/>
      <c r="R73" s="133"/>
    </row>
    <row r="74" ht="14.25" customHeight="1">
      <c r="A74" s="35"/>
      <c r="B74" s="132"/>
      <c r="C74" s="116"/>
      <c r="D74" s="35"/>
      <c r="E74" s="35"/>
      <c r="F74" s="35"/>
      <c r="G74" s="35"/>
      <c r="H74" s="26"/>
      <c r="I74" s="116"/>
      <c r="J74" s="35"/>
      <c r="K74" s="35"/>
      <c r="L74" s="35"/>
      <c r="M74" s="35"/>
      <c r="Q74" s="133"/>
      <c r="R74" s="133"/>
    </row>
    <row r="75" ht="14.25" customHeight="1">
      <c r="A75" s="35"/>
      <c r="B75" s="132"/>
      <c r="C75" s="116"/>
      <c r="D75" s="35"/>
      <c r="E75" s="35"/>
      <c r="F75" s="35"/>
      <c r="G75" s="35"/>
      <c r="H75" s="26"/>
      <c r="I75" s="116"/>
      <c r="J75" s="35"/>
      <c r="K75" s="35"/>
      <c r="L75" s="35"/>
      <c r="M75" s="35"/>
      <c r="Q75" s="133"/>
      <c r="R75" s="133"/>
    </row>
    <row r="76" ht="14.25" customHeight="1">
      <c r="A76" s="35"/>
      <c r="B76" s="132"/>
      <c r="C76" s="116"/>
      <c r="D76" s="35"/>
      <c r="E76" s="35"/>
      <c r="F76" s="35"/>
      <c r="G76" s="35"/>
      <c r="H76" s="26"/>
      <c r="I76" s="116"/>
      <c r="J76" s="35"/>
      <c r="K76" s="35"/>
      <c r="L76" s="35"/>
      <c r="M76" s="35"/>
      <c r="Q76" s="133"/>
      <c r="R76" s="133"/>
    </row>
    <row r="77" ht="14.25" customHeight="1">
      <c r="A77" s="35"/>
      <c r="B77" s="132"/>
      <c r="C77" s="116"/>
      <c r="D77" s="35"/>
      <c r="E77" s="35"/>
      <c r="F77" s="35"/>
      <c r="G77" s="35"/>
      <c r="H77" s="26"/>
      <c r="I77" s="116"/>
      <c r="J77" s="35"/>
      <c r="K77" s="35"/>
      <c r="L77" s="35"/>
      <c r="M77" s="35"/>
      <c r="Q77" s="133"/>
      <c r="R77" s="133"/>
    </row>
    <row r="78" ht="14.25" customHeight="1">
      <c r="A78" s="35"/>
      <c r="B78" s="132"/>
      <c r="C78" s="116"/>
      <c r="D78" s="35"/>
      <c r="E78" s="35"/>
      <c r="F78" s="35"/>
      <c r="G78" s="35"/>
      <c r="H78" s="26"/>
      <c r="I78" s="116"/>
      <c r="J78" s="35"/>
      <c r="K78" s="35"/>
      <c r="L78" s="35"/>
      <c r="M78" s="35"/>
      <c r="Q78" s="133"/>
      <c r="R78" s="133"/>
    </row>
    <row r="79" ht="14.25" customHeight="1">
      <c r="A79" s="35"/>
      <c r="B79" s="132"/>
      <c r="C79" s="116"/>
      <c r="D79" s="35"/>
      <c r="E79" s="35"/>
      <c r="F79" s="35"/>
      <c r="G79" s="35"/>
      <c r="H79" s="26"/>
      <c r="I79" s="116"/>
      <c r="J79" s="35"/>
      <c r="K79" s="35"/>
      <c r="L79" s="35"/>
      <c r="M79" s="35"/>
      <c r="Q79" s="133"/>
      <c r="R79" s="133"/>
    </row>
    <row r="80" ht="14.25" customHeight="1">
      <c r="A80" s="35"/>
      <c r="B80" s="132"/>
      <c r="C80" s="116"/>
      <c r="D80" s="35"/>
      <c r="E80" s="35"/>
      <c r="F80" s="35"/>
      <c r="G80" s="35"/>
      <c r="H80" s="26"/>
      <c r="I80" s="116"/>
      <c r="J80" s="35"/>
      <c r="K80" s="35"/>
      <c r="L80" s="35"/>
      <c r="M80" s="35"/>
      <c r="Q80" s="133"/>
      <c r="R80" s="133"/>
    </row>
    <row r="81" ht="14.25" customHeight="1">
      <c r="A81" s="35"/>
      <c r="B81" s="132"/>
      <c r="C81" s="116"/>
      <c r="D81" s="35"/>
      <c r="E81" s="35"/>
      <c r="F81" s="35"/>
      <c r="G81" s="35"/>
      <c r="H81" s="26"/>
      <c r="I81" s="116"/>
      <c r="J81" s="35"/>
      <c r="K81" s="35"/>
      <c r="L81" s="35"/>
      <c r="M81" s="35"/>
      <c r="Q81" s="133"/>
      <c r="R81" s="133"/>
    </row>
    <row r="82" ht="14.25" customHeight="1">
      <c r="A82" s="35"/>
      <c r="B82" s="132"/>
      <c r="C82" s="116"/>
      <c r="D82" s="35"/>
      <c r="E82" s="35"/>
      <c r="F82" s="35"/>
      <c r="G82" s="35"/>
      <c r="H82" s="26"/>
      <c r="I82" s="116"/>
      <c r="J82" s="35"/>
      <c r="K82" s="35"/>
      <c r="L82" s="35"/>
      <c r="M82" s="35"/>
      <c r="Q82" s="133"/>
      <c r="R82" s="133"/>
    </row>
    <row r="83" ht="14.25" customHeight="1">
      <c r="A83" s="35"/>
      <c r="B83" s="132"/>
      <c r="C83" s="116"/>
      <c r="D83" s="35"/>
      <c r="E83" s="35"/>
      <c r="F83" s="35"/>
      <c r="G83" s="35"/>
      <c r="H83" s="26"/>
      <c r="I83" s="116"/>
      <c r="J83" s="35"/>
      <c r="K83" s="35"/>
      <c r="L83" s="35"/>
      <c r="M83" s="35"/>
      <c r="Q83" s="133"/>
      <c r="R83" s="133"/>
    </row>
    <row r="84" ht="14.25" customHeight="1">
      <c r="A84" s="35"/>
      <c r="B84" s="132"/>
      <c r="C84" s="116"/>
      <c r="D84" s="35"/>
      <c r="E84" s="35"/>
      <c r="F84" s="35"/>
      <c r="G84" s="35"/>
      <c r="H84" s="26"/>
      <c r="I84" s="116"/>
      <c r="J84" s="35"/>
      <c r="K84" s="35"/>
      <c r="L84" s="35"/>
      <c r="M84" s="35"/>
      <c r="Q84" s="133"/>
      <c r="R84" s="133"/>
    </row>
    <row r="85" ht="14.25" customHeight="1">
      <c r="A85" s="35"/>
      <c r="B85" s="132"/>
      <c r="C85" s="116"/>
      <c r="D85" s="35"/>
      <c r="E85" s="35"/>
      <c r="F85" s="35"/>
      <c r="G85" s="35"/>
      <c r="H85" s="26"/>
      <c r="I85" s="116"/>
      <c r="J85" s="35"/>
      <c r="K85" s="35"/>
      <c r="L85" s="35"/>
      <c r="M85" s="35"/>
      <c r="Q85" s="133"/>
      <c r="R85" s="133"/>
    </row>
    <row r="86" ht="14.25" customHeight="1">
      <c r="A86" s="35"/>
      <c r="B86" s="132"/>
      <c r="C86" s="116"/>
      <c r="D86" s="35"/>
      <c r="E86" s="35"/>
      <c r="F86" s="35"/>
      <c r="G86" s="35"/>
      <c r="H86" s="26"/>
      <c r="I86" s="116"/>
      <c r="J86" s="35"/>
      <c r="K86" s="35"/>
      <c r="L86" s="35"/>
      <c r="M86" s="35"/>
      <c r="Q86" s="133"/>
      <c r="R86" s="133"/>
    </row>
    <row r="87" ht="14.25" customHeight="1">
      <c r="A87" s="35"/>
      <c r="B87" s="132"/>
      <c r="C87" s="116"/>
      <c r="D87" s="35"/>
      <c r="E87" s="35"/>
      <c r="F87" s="35"/>
      <c r="G87" s="35"/>
      <c r="H87" s="26"/>
      <c r="I87" s="116"/>
      <c r="J87" s="35"/>
      <c r="K87" s="35"/>
      <c r="L87" s="35"/>
      <c r="M87" s="35"/>
      <c r="Q87" s="133"/>
      <c r="R87" s="133"/>
    </row>
    <row r="88" ht="14.25" customHeight="1">
      <c r="A88" s="35"/>
      <c r="B88" s="132"/>
      <c r="C88" s="116"/>
      <c r="D88" s="35"/>
      <c r="E88" s="35"/>
      <c r="F88" s="35"/>
      <c r="G88" s="35"/>
      <c r="H88" s="26"/>
      <c r="I88" s="116"/>
      <c r="J88" s="35"/>
      <c r="K88" s="35"/>
      <c r="L88" s="35"/>
      <c r="M88" s="35"/>
      <c r="Q88" s="133"/>
      <c r="R88" s="133"/>
    </row>
    <row r="89" ht="14.25" customHeight="1">
      <c r="A89" s="35"/>
      <c r="B89" s="132"/>
      <c r="C89" s="116"/>
      <c r="D89" s="35"/>
      <c r="E89" s="35"/>
      <c r="F89" s="35"/>
      <c r="G89" s="35"/>
      <c r="H89" s="26"/>
      <c r="I89" s="116"/>
      <c r="J89" s="35"/>
      <c r="K89" s="35"/>
      <c r="L89" s="35"/>
      <c r="M89" s="35"/>
      <c r="Q89" s="133"/>
      <c r="R89" s="133"/>
    </row>
    <row r="90" ht="14.25" customHeight="1">
      <c r="A90" s="35"/>
      <c r="B90" s="132"/>
      <c r="C90" s="116"/>
      <c r="D90" s="35"/>
      <c r="E90" s="35"/>
      <c r="F90" s="35"/>
      <c r="G90" s="35"/>
      <c r="H90" s="26"/>
      <c r="I90" s="116"/>
      <c r="J90" s="35"/>
      <c r="K90" s="35"/>
      <c r="L90" s="35"/>
      <c r="M90" s="35"/>
      <c r="Q90" s="133"/>
      <c r="R90" s="133"/>
    </row>
    <row r="91" ht="14.25" customHeight="1">
      <c r="A91" s="35"/>
      <c r="B91" s="132"/>
      <c r="C91" s="116"/>
      <c r="D91" s="35"/>
      <c r="E91" s="35"/>
      <c r="F91" s="35"/>
      <c r="G91" s="35"/>
      <c r="H91" s="26"/>
      <c r="I91" s="116"/>
      <c r="J91" s="35"/>
      <c r="K91" s="35"/>
      <c r="L91" s="35"/>
      <c r="M91" s="35"/>
      <c r="Q91" s="133"/>
      <c r="R91" s="133"/>
    </row>
    <row r="92" ht="14.25" customHeight="1">
      <c r="A92" s="35"/>
      <c r="B92" s="132"/>
      <c r="C92" s="116"/>
      <c r="D92" s="134" t="s">
        <v>44</v>
      </c>
      <c r="E92" s="35"/>
      <c r="F92" s="35"/>
      <c r="G92" s="35"/>
      <c r="H92" s="26"/>
      <c r="I92" s="116"/>
      <c r="J92" s="35"/>
      <c r="K92" s="35"/>
      <c r="L92" s="35"/>
      <c r="M92" s="35"/>
      <c r="Q92" s="133"/>
      <c r="R92" s="133"/>
    </row>
    <row r="93" ht="14.25" customHeight="1">
      <c r="A93" s="35"/>
      <c r="B93" s="132"/>
      <c r="C93" s="116"/>
      <c r="D93" s="35"/>
      <c r="E93" s="35"/>
      <c r="F93" s="35"/>
      <c r="G93" s="35"/>
      <c r="H93" s="26"/>
      <c r="I93" s="116"/>
      <c r="J93" s="35"/>
      <c r="K93" s="35"/>
      <c r="L93" s="35"/>
      <c r="M93" s="35"/>
      <c r="Q93" s="133"/>
      <c r="R93" s="133"/>
    </row>
    <row r="94" ht="14.25" customHeight="1">
      <c r="A94" s="35"/>
      <c r="B94" s="132"/>
      <c r="C94" s="116"/>
      <c r="D94" s="35"/>
      <c r="E94" s="35"/>
      <c r="F94" s="35"/>
      <c r="G94" s="35"/>
      <c r="H94" s="26"/>
      <c r="I94" s="116"/>
      <c r="J94" s="35"/>
      <c r="K94" s="35"/>
      <c r="L94" s="35"/>
      <c r="M94" s="35"/>
      <c r="Q94" s="133"/>
      <c r="R94" s="133"/>
    </row>
    <row r="95" ht="14.25" customHeight="1">
      <c r="A95" s="35"/>
      <c r="B95" s="132"/>
      <c r="C95" s="116"/>
      <c r="D95" s="35"/>
      <c r="E95" s="35"/>
      <c r="F95" s="35"/>
      <c r="G95" s="35"/>
      <c r="H95" s="26"/>
      <c r="I95" s="116"/>
      <c r="J95" s="35"/>
      <c r="K95" s="35"/>
      <c r="L95" s="35"/>
      <c r="M95" s="35"/>
      <c r="Q95" s="133"/>
      <c r="R95" s="133"/>
    </row>
    <row r="96" ht="14.25" customHeight="1">
      <c r="A96" s="35"/>
      <c r="B96" s="132"/>
      <c r="C96" s="116"/>
      <c r="D96" s="35"/>
      <c r="E96" s="35"/>
      <c r="F96" s="35"/>
      <c r="G96" s="35"/>
      <c r="H96" s="26"/>
      <c r="I96" s="116"/>
      <c r="J96" s="35"/>
      <c r="K96" s="35"/>
      <c r="L96" s="35"/>
      <c r="M96" s="35"/>
      <c r="Q96" s="133"/>
      <c r="R96" s="133"/>
    </row>
    <row r="97" ht="14.25" customHeight="1">
      <c r="A97" s="35"/>
      <c r="B97" s="132"/>
      <c r="C97" s="116"/>
      <c r="D97" s="35"/>
      <c r="E97" s="35"/>
      <c r="F97" s="35"/>
      <c r="G97" s="35"/>
      <c r="H97" s="26"/>
      <c r="I97" s="116"/>
      <c r="J97" s="35"/>
      <c r="K97" s="35"/>
      <c r="L97" s="35"/>
      <c r="M97" s="35"/>
      <c r="Q97" s="133"/>
      <c r="R97" s="133"/>
    </row>
    <row r="98" ht="14.25" customHeight="1">
      <c r="A98" s="35"/>
      <c r="B98" s="132"/>
      <c r="C98" s="116"/>
      <c r="D98" s="35"/>
      <c r="E98" s="35"/>
      <c r="F98" s="35"/>
      <c r="G98" s="35"/>
      <c r="H98" s="26"/>
      <c r="I98" s="116"/>
      <c r="J98" s="35"/>
      <c r="K98" s="35"/>
      <c r="L98" s="35"/>
      <c r="M98" s="35"/>
      <c r="Q98" s="133"/>
      <c r="R98" s="133"/>
    </row>
    <row r="99" ht="14.25" customHeight="1">
      <c r="A99" s="35"/>
      <c r="B99" s="132"/>
      <c r="C99" s="116"/>
      <c r="D99" s="35"/>
      <c r="E99" s="35"/>
      <c r="F99" s="35"/>
      <c r="G99" s="35"/>
      <c r="H99" s="26"/>
      <c r="I99" s="116"/>
      <c r="J99" s="35"/>
      <c r="K99" s="35"/>
      <c r="L99" s="35"/>
      <c r="M99" s="35"/>
      <c r="Q99" s="133"/>
      <c r="R99" s="133"/>
    </row>
    <row r="100" ht="14.25" customHeight="1" outlineLevel="1">
      <c r="A100" s="35"/>
      <c r="B100" s="135">
        <f>B58/12</f>
        <v>0</v>
      </c>
      <c r="C100" s="116"/>
      <c r="D100" s="122"/>
      <c r="E100" s="122"/>
      <c r="F100" s="122"/>
      <c r="G100" s="122"/>
      <c r="H100" s="35"/>
      <c r="I100" s="116"/>
      <c r="J100" s="122"/>
      <c r="K100" s="122"/>
      <c r="L100" s="122"/>
      <c r="M100" s="122"/>
      <c r="N100" s="122"/>
      <c r="O100" s="116"/>
      <c r="P100" s="136"/>
      <c r="Q100" s="137"/>
      <c r="R100" s="137"/>
    </row>
    <row r="101" ht="14.25" customHeight="1" outlineLevel="1">
      <c r="A101" s="35"/>
      <c r="B101" s="26"/>
      <c r="C101" s="116"/>
      <c r="D101" s="123" t="s">
        <v>45</v>
      </c>
      <c r="E101" s="138"/>
      <c r="F101" s="138"/>
      <c r="G101" s="124"/>
      <c r="H101" s="139"/>
      <c r="I101" s="116"/>
      <c r="J101" s="122"/>
      <c r="K101" s="123" t="s">
        <v>46</v>
      </c>
      <c r="L101" s="138"/>
      <c r="M101" s="138"/>
      <c r="N101" s="124"/>
      <c r="O101" s="116"/>
      <c r="P101" s="136"/>
      <c r="Q101" s="140" t="s">
        <v>47</v>
      </c>
      <c r="R101" s="140"/>
    </row>
    <row r="102" ht="14.25" customHeight="1" outlineLevel="1">
      <c r="A102" s="35"/>
      <c r="B102" s="26"/>
      <c r="C102" s="116"/>
      <c r="D102" s="141" t="s">
        <v>48</v>
      </c>
      <c r="E102" s="141" t="s">
        <v>49</v>
      </c>
      <c r="F102" s="141" t="s">
        <v>50</v>
      </c>
      <c r="G102" s="142" t="s">
        <v>51</v>
      </c>
      <c r="H102" s="143" t="s">
        <v>52</v>
      </c>
      <c r="I102" s="144"/>
      <c r="J102" s="35"/>
      <c r="K102" s="141" t="s">
        <v>48</v>
      </c>
      <c r="L102" s="141" t="s">
        <v>49</v>
      </c>
      <c r="M102" s="141" t="s">
        <v>50</v>
      </c>
      <c r="N102" s="142" t="s">
        <v>51</v>
      </c>
      <c r="O102" s="116"/>
      <c r="P102" s="145" t="s">
        <v>53</v>
      </c>
      <c r="Q102" s="146" t="s">
        <v>54</v>
      </c>
      <c r="R102" s="147"/>
    </row>
    <row r="103" ht="14.25" customHeight="1" outlineLevel="1">
      <c r="A103" s="35"/>
      <c r="B103" s="116"/>
      <c r="C103" s="116"/>
      <c r="D103" s="141">
        <v>0.0</v>
      </c>
      <c r="E103" s="141">
        <v>0.0</v>
      </c>
      <c r="F103" s="128">
        <v>0.0</v>
      </c>
      <c r="G103" s="148">
        <f t="shared" ref="G103:G823" si="2">IF(E103&lt;$H$17,(($E$12*$E$17)/$H$17),0)+($E$7*($E$18-ROUNDDOWN(E103/12,0)*$H$18/100))+(IF(E103&lt;12*$H$19,0,$E$7*$E$19))+(IF($E$12*$E$20&gt;$H$20,$H$20/12,$E$12*$E$20/12))+(IF(F103*$E$21/12&gt;$H$21,F103*$E$21/12,$H$21))+($E$22/12)</f>
        <v>0</v>
      </c>
      <c r="H103" s="149">
        <f t="shared" ref="H103:H823" si="3">F103-M103</f>
        <v>0</v>
      </c>
      <c r="I103" s="150">
        <f>+G103</f>
        <v>0</v>
      </c>
      <c r="J103" s="35"/>
      <c r="K103" s="141">
        <v>0.0</v>
      </c>
      <c r="L103" s="141">
        <v>0.0</v>
      </c>
      <c r="M103" s="128">
        <v>0.0</v>
      </c>
      <c r="N103" s="148">
        <f>IF(L103&lt;$O$17,(($L$12*$L$17)/$O$17),0)+($L$7*($L$18-ROUNDDOWN(L103/12,0)*$O$18/100))+(IF(L103&lt;12*$O$19,0,$L$7*$L$19))+(IF($E$12*$L$20&gt;$O$20,$O$20/12,$L$12*$L$20/12))+(IF(M103*$L$21/12&gt;$O$21,M103*$L$21/12,$O$21))+($L$22/12)+M103*L18</f>
        <v>81.68700228</v>
      </c>
      <c r="O103" s="151"/>
      <c r="P103" s="152">
        <v>0.0</v>
      </c>
      <c r="Q103" s="153">
        <v>0.0</v>
      </c>
      <c r="R103" s="153"/>
    </row>
    <row r="104" ht="14.25" customHeight="1" outlineLevel="1">
      <c r="A104" s="35"/>
      <c r="B104" s="116"/>
      <c r="C104" s="116"/>
      <c r="D104" s="141"/>
      <c r="E104" s="141">
        <v>1.0</v>
      </c>
      <c r="F104" s="154">
        <f t="shared" ref="F104:F823" si="5">(F103+$E$7-G103)*(1+$I$12)^(1/12)</f>
        <v>490.9295168</v>
      </c>
      <c r="G104" s="148">
        <f t="shared" si="2"/>
        <v>0.2822844721</v>
      </c>
      <c r="H104" s="149">
        <f t="shared" si="3"/>
        <v>82.14887247</v>
      </c>
      <c r="I104" s="150">
        <f t="shared" ref="I104:I823" si="6">I103+G104</f>
        <v>0.2822844721</v>
      </c>
      <c r="J104" s="35"/>
      <c r="K104" s="141"/>
      <c r="L104" s="141">
        <v>1.0</v>
      </c>
      <c r="M104" s="154">
        <f t="shared" ref="M104:M823" si="7">(M103+$L$7-N103)*(1+$P$12)^(1/12)</f>
        <v>408.7806443</v>
      </c>
      <c r="N104" s="148">
        <f t="shared" ref="N104:N823" si="8">IF(L104&lt;$O$17,(($L$12*$L$17)/$O$17),0)+($L$7*($L$18-ROUNDDOWN(L104/12,0)*$O$18/100))+(IF(L104&lt;12*$O$19,0,$L$7*$L$19))+(IF($E$12*$L$20&gt;$O$20,$O$20/12,$L$12*$L$20/12))+(IF(M104*$L$21/12&gt;$O$21,M104*$L$21/12,$O$21))+($L$22/12)</f>
        <v>81.92205115</v>
      </c>
      <c r="O104" s="155">
        <f t="shared" ref="O104:O823" si="9">O103+N104</f>
        <v>81.92205115</v>
      </c>
      <c r="P104" s="156">
        <f t="shared" ref="P104:Q104" si="4">P103+$L$7</f>
        <v>488.1693364</v>
      </c>
      <c r="Q104" s="157">
        <f t="shared" si="4"/>
        <v>488.1693364</v>
      </c>
      <c r="R104" s="147"/>
    </row>
    <row r="105" ht="14.25" customHeight="1" outlineLevel="1">
      <c r="A105" s="35"/>
      <c r="B105" s="116"/>
      <c r="C105" s="116"/>
      <c r="D105" s="141"/>
      <c r="E105" s="141">
        <v>2.0</v>
      </c>
      <c r="F105" s="128">
        <f t="shared" si="5"/>
        <v>984.3509398</v>
      </c>
      <c r="G105" s="148">
        <f t="shared" si="2"/>
        <v>0.5660017904</v>
      </c>
      <c r="H105" s="149">
        <f t="shared" si="3"/>
        <v>164.7147239</v>
      </c>
      <c r="I105" s="150">
        <f t="shared" si="6"/>
        <v>0.8482862625</v>
      </c>
      <c r="J105" s="35"/>
      <c r="K105" s="141"/>
      <c r="L105" s="141">
        <v>2.0</v>
      </c>
      <c r="M105" s="128">
        <f t="shared" si="7"/>
        <v>819.6362159</v>
      </c>
      <c r="N105" s="148">
        <f t="shared" si="8"/>
        <v>82.15829311</v>
      </c>
      <c r="O105" s="155">
        <f t="shared" si="9"/>
        <v>164.0803443</v>
      </c>
      <c r="P105" s="156">
        <f t="shared" ref="P105:Q105" si="10">P104+$L$7</f>
        <v>976.3386727</v>
      </c>
      <c r="Q105" s="157">
        <f t="shared" si="10"/>
        <v>976.3386727</v>
      </c>
      <c r="R105" s="147"/>
    </row>
    <row r="106" ht="14.25" customHeight="1" outlineLevel="1">
      <c r="A106" s="81"/>
      <c r="B106" s="158"/>
      <c r="C106" s="132"/>
      <c r="D106" s="141"/>
      <c r="E106" s="141">
        <v>3.0</v>
      </c>
      <c r="F106" s="128">
        <f t="shared" si="5"/>
        <v>1480.276918</v>
      </c>
      <c r="G106" s="148">
        <f t="shared" si="2"/>
        <v>0.8511592278</v>
      </c>
      <c r="H106" s="149">
        <f t="shared" si="3"/>
        <v>247.6996709</v>
      </c>
      <c r="I106" s="150">
        <f t="shared" si="6"/>
        <v>1.69944549</v>
      </c>
      <c r="J106" s="35"/>
      <c r="K106" s="141"/>
      <c r="L106" s="141">
        <v>3.0</v>
      </c>
      <c r="M106" s="128">
        <f t="shared" si="7"/>
        <v>1232.577247</v>
      </c>
      <c r="N106" s="148">
        <f t="shared" si="8"/>
        <v>82.3957342</v>
      </c>
      <c r="O106" s="155">
        <f t="shared" si="9"/>
        <v>246.4760785</v>
      </c>
      <c r="P106" s="156">
        <f t="shared" ref="P106:Q106" si="11">P105+$L$7</f>
        <v>1464.508009</v>
      </c>
      <c r="Q106" s="157">
        <f t="shared" si="11"/>
        <v>1464.508009</v>
      </c>
      <c r="R106" s="147"/>
    </row>
    <row r="107" ht="14.25" customHeight="1" outlineLevel="1">
      <c r="A107" s="81"/>
      <c r="B107" s="158"/>
      <c r="C107" s="116"/>
      <c r="D107" s="141"/>
      <c r="E107" s="141">
        <v>4.0</v>
      </c>
      <c r="F107" s="128">
        <f t="shared" si="5"/>
        <v>1978.720164</v>
      </c>
      <c r="G107" s="148">
        <f t="shared" si="2"/>
        <v>1.137764094</v>
      </c>
      <c r="H107" s="149">
        <f t="shared" si="3"/>
        <v>331.1058407</v>
      </c>
      <c r="I107" s="150">
        <f t="shared" si="6"/>
        <v>2.837209584</v>
      </c>
      <c r="J107" s="35"/>
      <c r="K107" s="141"/>
      <c r="L107" s="141">
        <v>4.0</v>
      </c>
      <c r="M107" s="128">
        <f t="shared" si="7"/>
        <v>1647.614323</v>
      </c>
      <c r="N107" s="148">
        <f t="shared" si="8"/>
        <v>82.63438052</v>
      </c>
      <c r="O107" s="155">
        <f t="shared" si="9"/>
        <v>329.110459</v>
      </c>
      <c r="P107" s="156">
        <f t="shared" ref="P107:Q107" si="12">P106+$L$7</f>
        <v>1952.677345</v>
      </c>
      <c r="Q107" s="157">
        <f t="shared" si="12"/>
        <v>1952.677345</v>
      </c>
      <c r="R107" s="147"/>
    </row>
    <row r="108" ht="14.25" customHeight="1" outlineLevel="1">
      <c r="A108" s="35"/>
      <c r="B108" s="116"/>
      <c r="C108" s="116"/>
      <c r="D108" s="141"/>
      <c r="E108" s="141">
        <v>5.0</v>
      </c>
      <c r="F108" s="128">
        <f t="shared" si="5"/>
        <v>2479.693455</v>
      </c>
      <c r="G108" s="148">
        <f t="shared" si="2"/>
        <v>1.425823737</v>
      </c>
      <c r="H108" s="149">
        <f t="shared" si="3"/>
        <v>414.9353714</v>
      </c>
      <c r="I108" s="150">
        <f t="shared" si="6"/>
        <v>4.263033321</v>
      </c>
      <c r="J108" s="35"/>
      <c r="K108" s="141"/>
      <c r="L108" s="141">
        <v>5.0</v>
      </c>
      <c r="M108" s="128">
        <f t="shared" si="7"/>
        <v>2064.758083</v>
      </c>
      <c r="N108" s="148">
        <f t="shared" si="8"/>
        <v>82.87423818</v>
      </c>
      <c r="O108" s="155">
        <f t="shared" si="9"/>
        <v>411.9846972</v>
      </c>
      <c r="P108" s="156">
        <f t="shared" ref="P108:Q108" si="13">P107+$L$7</f>
        <v>2440.846682</v>
      </c>
      <c r="Q108" s="157">
        <f t="shared" si="13"/>
        <v>2440.846682</v>
      </c>
      <c r="R108" s="147"/>
    </row>
    <row r="109" ht="14.25" customHeight="1" outlineLevel="1">
      <c r="A109" s="35"/>
      <c r="B109" s="116"/>
      <c r="C109" s="116"/>
      <c r="D109" s="141"/>
      <c r="E109" s="141">
        <v>6.0</v>
      </c>
      <c r="F109" s="128">
        <f t="shared" si="5"/>
        <v>2983.209633</v>
      </c>
      <c r="G109" s="148">
        <f t="shared" si="2"/>
        <v>1.715345539</v>
      </c>
      <c r="H109" s="149">
        <f t="shared" si="3"/>
        <v>499.190412</v>
      </c>
      <c r="I109" s="150">
        <f t="shared" si="6"/>
        <v>5.97837886</v>
      </c>
      <c r="J109" s="35"/>
      <c r="K109" s="141"/>
      <c r="L109" s="141">
        <v>6.0</v>
      </c>
      <c r="M109" s="128">
        <f t="shared" si="7"/>
        <v>2484.019221</v>
      </c>
      <c r="N109" s="148">
        <f t="shared" si="8"/>
        <v>83.11531334</v>
      </c>
      <c r="O109" s="155">
        <f t="shared" si="9"/>
        <v>495.1000105</v>
      </c>
      <c r="P109" s="156">
        <f t="shared" ref="P109:Q109" si="14">P108+$L$7</f>
        <v>2929.016018</v>
      </c>
      <c r="Q109" s="157">
        <f t="shared" si="14"/>
        <v>2929.016018</v>
      </c>
      <c r="R109" s="147"/>
    </row>
    <row r="110" ht="14.25" customHeight="1" outlineLevel="1">
      <c r="A110" s="35"/>
      <c r="B110" s="116"/>
      <c r="C110" s="116"/>
      <c r="D110" s="141"/>
      <c r="E110" s="141">
        <v>7.0</v>
      </c>
      <c r="F110" s="128">
        <f t="shared" si="5"/>
        <v>3489.281607</v>
      </c>
      <c r="G110" s="148">
        <f t="shared" si="2"/>
        <v>2.006336924</v>
      </c>
      <c r="H110" s="149">
        <f t="shared" si="3"/>
        <v>583.8731222</v>
      </c>
      <c r="I110" s="150">
        <f t="shared" si="6"/>
        <v>7.984715784</v>
      </c>
      <c r="J110" s="35"/>
      <c r="K110" s="141"/>
      <c r="L110" s="141">
        <v>7.0</v>
      </c>
      <c r="M110" s="128">
        <f t="shared" si="7"/>
        <v>2905.408485</v>
      </c>
      <c r="N110" s="148">
        <f t="shared" si="8"/>
        <v>83.35761216</v>
      </c>
      <c r="O110" s="155">
        <f t="shared" si="9"/>
        <v>578.4576227</v>
      </c>
      <c r="P110" s="156">
        <f t="shared" ref="P110:Q110" si="15">P109+$L$7</f>
        <v>3417.185354</v>
      </c>
      <c r="Q110" s="157">
        <f t="shared" si="15"/>
        <v>3417.185354</v>
      </c>
      <c r="R110" s="147"/>
    </row>
    <row r="111" ht="14.25" customHeight="1" outlineLevel="1">
      <c r="A111" s="35"/>
      <c r="B111" s="116"/>
      <c r="C111" s="116"/>
      <c r="D111" s="141"/>
      <c r="E111" s="141">
        <v>8.0</v>
      </c>
      <c r="F111" s="128">
        <f t="shared" si="5"/>
        <v>3997.922348</v>
      </c>
      <c r="G111" s="148">
        <f t="shared" si="2"/>
        <v>2.29880535</v>
      </c>
      <c r="H111" s="149">
        <f t="shared" si="3"/>
        <v>668.9856729</v>
      </c>
      <c r="I111" s="150">
        <f t="shared" si="6"/>
        <v>10.28352113</v>
      </c>
      <c r="J111" s="35"/>
      <c r="K111" s="141"/>
      <c r="L111" s="141">
        <v>8.0</v>
      </c>
      <c r="M111" s="128">
        <f t="shared" si="7"/>
        <v>3328.936675</v>
      </c>
      <c r="N111" s="148">
        <f t="shared" si="8"/>
        <v>83.60114087</v>
      </c>
      <c r="O111" s="155">
        <f t="shared" si="9"/>
        <v>662.0587635</v>
      </c>
      <c r="P111" s="156">
        <f t="shared" ref="P111:Q111" si="16">P110+$L$7</f>
        <v>3905.354691</v>
      </c>
      <c r="Q111" s="157">
        <f t="shared" si="16"/>
        <v>3905.354691</v>
      </c>
      <c r="R111" s="147"/>
    </row>
    <row r="112" ht="14.25" customHeight="1" outlineLevel="1">
      <c r="A112" s="35"/>
      <c r="B112" s="116"/>
      <c r="C112" s="116"/>
      <c r="D112" s="141"/>
      <c r="E112" s="141">
        <v>9.0</v>
      </c>
      <c r="F112" s="128">
        <f t="shared" si="5"/>
        <v>4509.144896</v>
      </c>
      <c r="G112" s="148">
        <f t="shared" si="2"/>
        <v>2.592758315</v>
      </c>
      <c r="H112" s="149">
        <f t="shared" si="3"/>
        <v>754.5302459</v>
      </c>
      <c r="I112" s="150">
        <f t="shared" si="6"/>
        <v>12.87627945</v>
      </c>
      <c r="J112" s="35"/>
      <c r="K112" s="141"/>
      <c r="L112" s="141">
        <v>9.0</v>
      </c>
      <c r="M112" s="128">
        <f t="shared" si="7"/>
        <v>3754.61465</v>
      </c>
      <c r="N112" s="148">
        <f t="shared" si="8"/>
        <v>83.84590571</v>
      </c>
      <c r="O112" s="155">
        <f t="shared" si="9"/>
        <v>745.9046692</v>
      </c>
      <c r="P112" s="156">
        <f t="shared" ref="P112:Q112" si="17">P111+$L$7</f>
        <v>4393.524027</v>
      </c>
      <c r="Q112" s="157">
        <f t="shared" si="17"/>
        <v>4393.524027</v>
      </c>
      <c r="R112" s="147"/>
    </row>
    <row r="113" ht="14.25" customHeight="1" outlineLevel="1">
      <c r="A113" s="35"/>
      <c r="B113" s="116"/>
      <c r="C113" s="116"/>
      <c r="D113" s="141"/>
      <c r="E113" s="141">
        <v>10.0</v>
      </c>
      <c r="F113" s="128">
        <f t="shared" si="5"/>
        <v>5022.962355</v>
      </c>
      <c r="G113" s="148">
        <f t="shared" si="2"/>
        <v>2.888203354</v>
      </c>
      <c r="H113" s="149">
        <f t="shared" si="3"/>
        <v>840.5090341</v>
      </c>
      <c r="I113" s="150">
        <f t="shared" si="6"/>
        <v>15.7644828</v>
      </c>
      <c r="J113" s="35"/>
      <c r="K113" s="141"/>
      <c r="L113" s="141">
        <v>10.0</v>
      </c>
      <c r="M113" s="128">
        <f t="shared" si="7"/>
        <v>4182.453321</v>
      </c>
      <c r="N113" s="148">
        <f t="shared" si="8"/>
        <v>84.09191294</v>
      </c>
      <c r="O113" s="155">
        <f t="shared" si="9"/>
        <v>829.9965822</v>
      </c>
      <c r="P113" s="156">
        <f t="shared" ref="P113:Q113" si="18">P112+$L$7</f>
        <v>4881.693364</v>
      </c>
      <c r="Q113" s="157">
        <f t="shared" si="18"/>
        <v>4881.693364</v>
      </c>
      <c r="R113" s="147"/>
    </row>
    <row r="114" ht="14.25" customHeight="1" outlineLevel="1">
      <c r="A114" s="35"/>
      <c r="B114" s="116"/>
      <c r="C114" s="116"/>
      <c r="D114" s="141"/>
      <c r="E114" s="141">
        <v>11.0</v>
      </c>
      <c r="F114" s="128">
        <f t="shared" si="5"/>
        <v>5539.387898</v>
      </c>
      <c r="G114" s="148">
        <f t="shared" si="2"/>
        <v>3.185148041</v>
      </c>
      <c r="H114" s="149">
        <f t="shared" si="3"/>
        <v>926.9242415</v>
      </c>
      <c r="I114" s="150">
        <f t="shared" si="6"/>
        <v>18.94963084</v>
      </c>
      <c r="J114" s="35"/>
      <c r="K114" s="141"/>
      <c r="L114" s="141">
        <v>11.0</v>
      </c>
      <c r="M114" s="128">
        <f t="shared" si="7"/>
        <v>4612.463656</v>
      </c>
      <c r="N114" s="148">
        <f t="shared" si="8"/>
        <v>84.33916889</v>
      </c>
      <c r="O114" s="155">
        <f t="shared" si="9"/>
        <v>914.3357511</v>
      </c>
      <c r="P114" s="156">
        <f t="shared" ref="P114:Q114" si="19">P113+$L$7</f>
        <v>5369.8627</v>
      </c>
      <c r="Q114" s="157">
        <f t="shared" si="19"/>
        <v>5369.8627</v>
      </c>
      <c r="R114" s="147"/>
    </row>
    <row r="115" ht="14.25" customHeight="1" outlineLevel="1">
      <c r="A115" s="35"/>
      <c r="B115" s="116"/>
      <c r="C115" s="116"/>
      <c r="D115" s="141">
        <v>1.0</v>
      </c>
      <c r="E115" s="141">
        <v>12.0</v>
      </c>
      <c r="F115" s="128">
        <f t="shared" si="5"/>
        <v>6058.434762</v>
      </c>
      <c r="G115" s="148">
        <f t="shared" si="2"/>
        <v>3.483599988</v>
      </c>
      <c r="H115" s="149">
        <f t="shared" si="3"/>
        <v>1013.778083</v>
      </c>
      <c r="I115" s="150">
        <f t="shared" si="6"/>
        <v>22.43323083</v>
      </c>
      <c r="J115" s="35"/>
      <c r="K115" s="141">
        <v>1.0</v>
      </c>
      <c r="L115" s="141">
        <v>12.0</v>
      </c>
      <c r="M115" s="128">
        <f t="shared" si="7"/>
        <v>5044.656678</v>
      </c>
      <c r="N115" s="148">
        <f t="shared" si="8"/>
        <v>84.58767987</v>
      </c>
      <c r="O115" s="155">
        <f t="shared" si="9"/>
        <v>998.9234309</v>
      </c>
      <c r="P115" s="156">
        <f t="shared" ref="P115:Q115" si="20">P114+$L$7</f>
        <v>5858.032036</v>
      </c>
      <c r="Q115" s="157">
        <f t="shared" si="20"/>
        <v>5858.032036</v>
      </c>
      <c r="R115" s="159"/>
    </row>
    <row r="116" ht="14.25" customHeight="1" outlineLevel="1">
      <c r="A116" s="35"/>
      <c r="B116" s="116"/>
      <c r="C116" s="116"/>
      <c r="D116" s="141"/>
      <c r="E116" s="141">
        <v>13.0</v>
      </c>
      <c r="F116" s="128">
        <f t="shared" si="5"/>
        <v>6580.116253</v>
      </c>
      <c r="G116" s="148">
        <f t="shared" si="2"/>
        <v>3.783566845</v>
      </c>
      <c r="H116" s="149">
        <f t="shared" si="3"/>
        <v>1101.072786</v>
      </c>
      <c r="I116" s="150">
        <f t="shared" si="6"/>
        <v>26.21679768</v>
      </c>
      <c r="J116" s="35"/>
      <c r="K116" s="141"/>
      <c r="L116" s="141">
        <v>13.0</v>
      </c>
      <c r="M116" s="128">
        <f t="shared" si="7"/>
        <v>5479.043466</v>
      </c>
      <c r="N116" s="148">
        <f t="shared" si="8"/>
        <v>84.83745228</v>
      </c>
      <c r="O116" s="155">
        <f t="shared" si="9"/>
        <v>1083.760883</v>
      </c>
      <c r="P116" s="156">
        <f t="shared" ref="P116:Q116" si="21">P115+$L$7</f>
        <v>6346.201373</v>
      </c>
      <c r="Q116" s="157">
        <f t="shared" si="21"/>
        <v>6346.201373</v>
      </c>
    </row>
    <row r="117" ht="14.25" customHeight="1" outlineLevel="1">
      <c r="A117" s="35"/>
      <c r="B117" s="116"/>
      <c r="C117" s="116"/>
      <c r="D117" s="141"/>
      <c r="E117" s="141">
        <v>14.0</v>
      </c>
      <c r="F117" s="128">
        <f t="shared" si="5"/>
        <v>7104.445744</v>
      </c>
      <c r="G117" s="148">
        <f t="shared" si="2"/>
        <v>4.085056303</v>
      </c>
      <c r="H117" s="149">
        <f t="shared" si="3"/>
        <v>1188.810588</v>
      </c>
      <c r="I117" s="150">
        <f t="shared" si="6"/>
        <v>30.30185398</v>
      </c>
      <c r="J117" s="35"/>
      <c r="K117" s="141"/>
      <c r="L117" s="141">
        <v>14.0</v>
      </c>
      <c r="M117" s="128">
        <f t="shared" si="7"/>
        <v>5915.635156</v>
      </c>
      <c r="N117" s="148">
        <f t="shared" si="8"/>
        <v>85.0884925</v>
      </c>
      <c r="O117" s="155">
        <f t="shared" si="9"/>
        <v>1168.849376</v>
      </c>
      <c r="P117" s="156">
        <f t="shared" ref="P117:Q117" si="22">P116+$L$7</f>
        <v>6834.370709</v>
      </c>
      <c r="Q117" s="157">
        <f t="shared" si="22"/>
        <v>6834.370709</v>
      </c>
      <c r="R117" s="147"/>
    </row>
    <row r="118" ht="14.25" customHeight="1" outlineLevel="1">
      <c r="A118" s="35"/>
      <c r="B118" s="116"/>
      <c r="C118" s="116"/>
      <c r="D118" s="141"/>
      <c r="E118" s="141">
        <v>15.0</v>
      </c>
      <c r="F118" s="128">
        <f t="shared" si="5"/>
        <v>7631.436676</v>
      </c>
      <c r="G118" s="148">
        <f t="shared" si="2"/>
        <v>4.388076089</v>
      </c>
      <c r="H118" s="149">
        <f t="shared" si="3"/>
        <v>1276.993737</v>
      </c>
      <c r="I118" s="150">
        <f t="shared" si="6"/>
        <v>34.68993007</v>
      </c>
      <c r="J118" s="35"/>
      <c r="K118" s="141"/>
      <c r="L118" s="141">
        <v>15.0</v>
      </c>
      <c r="M118" s="128">
        <f t="shared" si="7"/>
        <v>6354.442939</v>
      </c>
      <c r="N118" s="148">
        <f t="shared" si="8"/>
        <v>85.34080697</v>
      </c>
      <c r="O118" s="155">
        <f t="shared" si="9"/>
        <v>1254.190183</v>
      </c>
      <c r="P118" s="156">
        <f t="shared" ref="P118:Q118" si="23">P117+$L$7</f>
        <v>7322.540045</v>
      </c>
      <c r="Q118" s="157">
        <f t="shared" si="23"/>
        <v>7322.540045</v>
      </c>
      <c r="R118" s="147"/>
    </row>
    <row r="119" ht="14.25" customHeight="1" outlineLevel="1">
      <c r="A119" s="35"/>
      <c r="B119" s="116"/>
      <c r="C119" s="116"/>
      <c r="D119" s="141"/>
      <c r="E119" s="141">
        <v>16.0</v>
      </c>
      <c r="F119" s="128">
        <f t="shared" si="5"/>
        <v>8161.102558</v>
      </c>
      <c r="G119" s="148">
        <f t="shared" si="2"/>
        <v>4.692633971</v>
      </c>
      <c r="H119" s="149">
        <f t="shared" si="3"/>
        <v>1365.624495</v>
      </c>
      <c r="I119" s="150">
        <f t="shared" si="6"/>
        <v>39.38256404</v>
      </c>
      <c r="J119" s="35"/>
      <c r="K119" s="141"/>
      <c r="L119" s="141">
        <v>16.0</v>
      </c>
      <c r="M119" s="128">
        <f t="shared" si="7"/>
        <v>6795.478063</v>
      </c>
      <c r="N119" s="148">
        <f t="shared" si="8"/>
        <v>85.59440217</v>
      </c>
      <c r="O119" s="155">
        <f t="shared" si="9"/>
        <v>1339.784585</v>
      </c>
      <c r="P119" s="156">
        <f t="shared" ref="P119:Q119" si="24">P118+$L$7</f>
        <v>7810.709382</v>
      </c>
      <c r="Q119" s="157">
        <f t="shared" si="24"/>
        <v>7810.709382</v>
      </c>
      <c r="R119" s="147"/>
    </row>
    <row r="120" ht="14.25" customHeight="1" outlineLevel="1">
      <c r="A120" s="35"/>
      <c r="B120" s="116"/>
      <c r="C120" s="116"/>
      <c r="D120" s="141"/>
      <c r="E120" s="141">
        <v>17.0</v>
      </c>
      <c r="F120" s="128">
        <f t="shared" si="5"/>
        <v>8693.456968</v>
      </c>
      <c r="G120" s="148">
        <f t="shared" si="2"/>
        <v>4.998737757</v>
      </c>
      <c r="H120" s="149">
        <f t="shared" si="3"/>
        <v>1454.705133</v>
      </c>
      <c r="I120" s="150">
        <f t="shared" si="6"/>
        <v>44.3813018</v>
      </c>
      <c r="J120" s="35"/>
      <c r="K120" s="141"/>
      <c r="L120" s="141">
        <v>17.0</v>
      </c>
      <c r="M120" s="128">
        <f t="shared" si="7"/>
        <v>7238.751836</v>
      </c>
      <c r="N120" s="148">
        <f t="shared" si="8"/>
        <v>85.84928459</v>
      </c>
      <c r="O120" s="155">
        <f t="shared" si="9"/>
        <v>1425.633869</v>
      </c>
      <c r="P120" s="156">
        <f t="shared" ref="P120:Q120" si="25">P119+$L$7</f>
        <v>8298.878718</v>
      </c>
      <c r="Q120" s="157">
        <f t="shared" si="25"/>
        <v>8298.878718</v>
      </c>
      <c r="R120" s="147"/>
    </row>
    <row r="121" ht="14.25" customHeight="1" outlineLevel="1">
      <c r="A121" s="35"/>
      <c r="B121" s="116"/>
      <c r="C121" s="116"/>
      <c r="D121" s="141"/>
      <c r="E121" s="141">
        <v>18.0</v>
      </c>
      <c r="F121" s="128">
        <f t="shared" si="5"/>
        <v>9228.513553</v>
      </c>
      <c r="G121" s="148">
        <f t="shared" si="2"/>
        <v>5.306395293</v>
      </c>
      <c r="H121" s="149">
        <f t="shared" si="3"/>
        <v>1544.237935</v>
      </c>
      <c r="I121" s="150">
        <f t="shared" si="6"/>
        <v>49.68769709</v>
      </c>
      <c r="J121" s="35"/>
      <c r="K121" s="141"/>
      <c r="L121" s="141">
        <v>18.0</v>
      </c>
      <c r="M121" s="128">
        <f t="shared" si="7"/>
        <v>7684.275619</v>
      </c>
      <c r="N121" s="148">
        <f t="shared" si="8"/>
        <v>86.10546076</v>
      </c>
      <c r="O121" s="155">
        <f t="shared" si="9"/>
        <v>1511.73933</v>
      </c>
      <c r="P121" s="156">
        <f t="shared" ref="P121:Q121" si="26">P120+$L$7</f>
        <v>8787.048054</v>
      </c>
      <c r="Q121" s="157">
        <f t="shared" si="26"/>
        <v>8787.048054</v>
      </c>
      <c r="R121" s="147"/>
    </row>
    <row r="122" ht="14.25" customHeight="1" outlineLevel="1">
      <c r="A122" s="35"/>
      <c r="B122" s="116"/>
      <c r="C122" s="116"/>
      <c r="D122" s="141"/>
      <c r="E122" s="141">
        <v>19.0</v>
      </c>
      <c r="F122" s="128">
        <f t="shared" si="5"/>
        <v>9766.286029</v>
      </c>
      <c r="G122" s="148">
        <f t="shared" si="2"/>
        <v>5.615614467</v>
      </c>
      <c r="H122" s="149">
        <f t="shared" si="3"/>
        <v>1634.225196</v>
      </c>
      <c r="I122" s="150">
        <f t="shared" si="6"/>
        <v>55.30331156</v>
      </c>
      <c r="J122" s="35"/>
      <c r="K122" s="141"/>
      <c r="L122" s="141">
        <v>19.0</v>
      </c>
      <c r="M122" s="128">
        <f t="shared" si="7"/>
        <v>8132.060834</v>
      </c>
      <c r="N122" s="148">
        <f t="shared" si="8"/>
        <v>86.36293726</v>
      </c>
      <c r="O122" s="155">
        <f t="shared" si="9"/>
        <v>1598.102267</v>
      </c>
      <c r="P122" s="156">
        <f t="shared" ref="P122:Q122" si="27">P121+$L$7</f>
        <v>9275.217391</v>
      </c>
      <c r="Q122" s="157">
        <f t="shared" si="27"/>
        <v>9275.217391</v>
      </c>
      <c r="R122" s="147"/>
    </row>
    <row r="123" ht="14.25" customHeight="1" outlineLevel="1">
      <c r="A123" s="35"/>
      <c r="B123" s="116"/>
      <c r="C123" s="116"/>
      <c r="D123" s="141"/>
      <c r="E123" s="141">
        <v>20.0</v>
      </c>
      <c r="F123" s="128">
        <f t="shared" si="5"/>
        <v>10306.78818</v>
      </c>
      <c r="G123" s="148">
        <f t="shared" si="2"/>
        <v>5.926403204</v>
      </c>
      <c r="H123" s="149">
        <f t="shared" si="3"/>
        <v>1724.669222</v>
      </c>
      <c r="I123" s="150">
        <f t="shared" si="6"/>
        <v>61.22971476</v>
      </c>
      <c r="J123" s="35"/>
      <c r="K123" s="141"/>
      <c r="L123" s="141">
        <v>20.0</v>
      </c>
      <c r="M123" s="128">
        <f t="shared" si="7"/>
        <v>8582.118959</v>
      </c>
      <c r="N123" s="148">
        <f t="shared" si="8"/>
        <v>86.62172068</v>
      </c>
      <c r="O123" s="155">
        <f t="shared" si="9"/>
        <v>1684.723988</v>
      </c>
      <c r="P123" s="156">
        <f t="shared" ref="P123:Q123" si="28">P122+$L$7</f>
        <v>9763.386727</v>
      </c>
      <c r="Q123" s="157">
        <f t="shared" si="28"/>
        <v>9763.386727</v>
      </c>
      <c r="R123" s="147"/>
    </row>
    <row r="124" ht="14.25" customHeight="1" outlineLevel="1">
      <c r="A124" s="35"/>
      <c r="B124" s="116"/>
      <c r="C124" s="116"/>
      <c r="D124" s="141"/>
      <c r="E124" s="141">
        <v>21.0</v>
      </c>
      <c r="F124" s="128">
        <f t="shared" si="5"/>
        <v>10850.03386</v>
      </c>
      <c r="G124" s="148">
        <f t="shared" si="2"/>
        <v>6.238769472</v>
      </c>
      <c r="H124" s="149">
        <f t="shared" si="3"/>
        <v>1815.572333</v>
      </c>
      <c r="I124" s="150">
        <f t="shared" si="6"/>
        <v>67.46848423</v>
      </c>
      <c r="J124" s="35"/>
      <c r="K124" s="141"/>
      <c r="L124" s="141">
        <v>21.0</v>
      </c>
      <c r="M124" s="128">
        <f t="shared" si="7"/>
        <v>9034.461531</v>
      </c>
      <c r="N124" s="148">
        <f t="shared" si="8"/>
        <v>86.88181766</v>
      </c>
      <c r="O124" s="155">
        <f t="shared" si="9"/>
        <v>1771.605806</v>
      </c>
      <c r="P124" s="156">
        <f t="shared" ref="P124:Q124" si="29">P123+$L$7</f>
        <v>10251.55606</v>
      </c>
      <c r="Q124" s="157">
        <f t="shared" si="29"/>
        <v>10251.55606</v>
      </c>
      <c r="R124" s="147"/>
    </row>
    <row r="125" ht="14.25" customHeight="1" outlineLevel="1">
      <c r="A125" s="35"/>
      <c r="B125" s="116"/>
      <c r="C125" s="116"/>
      <c r="D125" s="141"/>
      <c r="E125" s="141">
        <v>22.0</v>
      </c>
      <c r="F125" s="128">
        <f t="shared" si="5"/>
        <v>11396.03701</v>
      </c>
      <c r="G125" s="148">
        <f t="shared" si="2"/>
        <v>6.552721278</v>
      </c>
      <c r="H125" s="149">
        <f t="shared" si="3"/>
        <v>1906.936859</v>
      </c>
      <c r="I125" s="150">
        <f t="shared" si="6"/>
        <v>74.02120551</v>
      </c>
      <c r="J125" s="35"/>
      <c r="K125" s="141"/>
      <c r="L125" s="141">
        <v>22.0</v>
      </c>
      <c r="M125" s="128">
        <f t="shared" si="7"/>
        <v>9489.100147</v>
      </c>
      <c r="N125" s="148">
        <f t="shared" si="8"/>
        <v>87.14323487</v>
      </c>
      <c r="O125" s="155">
        <f t="shared" si="9"/>
        <v>1858.749041</v>
      </c>
      <c r="P125" s="156">
        <f t="shared" ref="P125:Q125" si="30">P124+$L$7</f>
        <v>10739.7254</v>
      </c>
      <c r="Q125" s="157">
        <f t="shared" si="30"/>
        <v>10739.7254</v>
      </c>
      <c r="R125" s="147"/>
    </row>
    <row r="126" ht="14.25" customHeight="1" outlineLevel="1">
      <c r="A126" s="35"/>
      <c r="B126" s="116"/>
      <c r="C126" s="116"/>
      <c r="D126" s="141"/>
      <c r="E126" s="141">
        <v>23.0</v>
      </c>
      <c r="F126" s="128">
        <f t="shared" si="5"/>
        <v>11944.8116</v>
      </c>
      <c r="G126" s="148">
        <f t="shared" si="2"/>
        <v>6.868266671</v>
      </c>
      <c r="H126" s="149">
        <f t="shared" si="3"/>
        <v>1998.765141</v>
      </c>
      <c r="I126" s="150">
        <f t="shared" si="6"/>
        <v>80.88947218</v>
      </c>
      <c r="J126" s="35"/>
      <c r="K126" s="141"/>
      <c r="L126" s="141">
        <v>23.0</v>
      </c>
      <c r="M126" s="128">
        <f t="shared" si="7"/>
        <v>9946.04646</v>
      </c>
      <c r="N126" s="148">
        <f t="shared" si="8"/>
        <v>87.405979</v>
      </c>
      <c r="O126" s="155">
        <f t="shared" si="9"/>
        <v>1946.15502</v>
      </c>
      <c r="P126" s="156">
        <f t="shared" ref="P126:Q126" si="31">P125+$L$7</f>
        <v>11227.89474</v>
      </c>
      <c r="Q126" s="157">
        <f t="shared" si="31"/>
        <v>11227.89474</v>
      </c>
      <c r="R126" s="147"/>
    </row>
    <row r="127" ht="14.25" customHeight="1" outlineLevel="1">
      <c r="A127" s="35"/>
      <c r="B127" s="116"/>
      <c r="C127" s="116"/>
      <c r="D127" s="141">
        <v>2.0</v>
      </c>
      <c r="E127" s="141">
        <v>24.0</v>
      </c>
      <c r="F127" s="128">
        <f t="shared" si="5"/>
        <v>12496.37172</v>
      </c>
      <c r="G127" s="148">
        <f t="shared" si="2"/>
        <v>7.185413738</v>
      </c>
      <c r="H127" s="149">
        <f t="shared" si="3"/>
        <v>2091.059534</v>
      </c>
      <c r="I127" s="150">
        <f t="shared" si="6"/>
        <v>88.07488592</v>
      </c>
      <c r="J127" s="35"/>
      <c r="K127" s="141">
        <v>2.0</v>
      </c>
      <c r="L127" s="141">
        <v>24.0</v>
      </c>
      <c r="M127" s="128">
        <f t="shared" si="7"/>
        <v>10405.31218</v>
      </c>
      <c r="N127" s="148">
        <f t="shared" si="8"/>
        <v>87.67005679</v>
      </c>
      <c r="O127" s="155">
        <f t="shared" si="9"/>
        <v>2033.825076</v>
      </c>
      <c r="P127" s="156">
        <f t="shared" ref="P127:Q127" si="32">P126+$L$7</f>
        <v>11716.06407</v>
      </c>
      <c r="Q127" s="157">
        <f t="shared" si="32"/>
        <v>11716.06407</v>
      </c>
      <c r="R127" s="147"/>
    </row>
    <row r="128" ht="14.25" customHeight="1" outlineLevel="1">
      <c r="A128" s="35"/>
      <c r="B128" s="116"/>
      <c r="C128" s="116"/>
      <c r="D128" s="141"/>
      <c r="E128" s="141">
        <v>25.0</v>
      </c>
      <c r="F128" s="128">
        <f t="shared" si="5"/>
        <v>13050.7315</v>
      </c>
      <c r="G128" s="148">
        <f t="shared" si="2"/>
        <v>7.504170611</v>
      </c>
      <c r="H128" s="149">
        <f t="shared" si="3"/>
        <v>2183.822404</v>
      </c>
      <c r="I128" s="150">
        <f t="shared" si="6"/>
        <v>95.57905653</v>
      </c>
      <c r="J128" s="35"/>
      <c r="K128" s="141"/>
      <c r="L128" s="141">
        <v>25.0</v>
      </c>
      <c r="M128" s="128">
        <f t="shared" si="7"/>
        <v>10866.90909</v>
      </c>
      <c r="N128" s="148">
        <f t="shared" si="8"/>
        <v>87.93547501</v>
      </c>
      <c r="O128" s="155">
        <f t="shared" si="9"/>
        <v>2121.760551</v>
      </c>
      <c r="P128" s="156">
        <f t="shared" ref="P128:Q128" si="33">P127+$L$7</f>
        <v>12204.23341</v>
      </c>
      <c r="Q128" s="157">
        <f t="shared" si="33"/>
        <v>12204.23341</v>
      </c>
      <c r="R128" s="147"/>
    </row>
    <row r="129" ht="14.25" customHeight="1" outlineLevel="1">
      <c r="A129" s="35"/>
      <c r="B129" s="116"/>
      <c r="C129" s="116"/>
      <c r="D129" s="141"/>
      <c r="E129" s="141">
        <v>26.0</v>
      </c>
      <c r="F129" s="128">
        <f t="shared" si="5"/>
        <v>13607.90515</v>
      </c>
      <c r="G129" s="148">
        <f t="shared" si="2"/>
        <v>7.824545459</v>
      </c>
      <c r="H129" s="149">
        <f t="shared" si="3"/>
        <v>2277.056128</v>
      </c>
      <c r="I129" s="150">
        <f t="shared" si="6"/>
        <v>103.403602</v>
      </c>
      <c r="J129" s="35"/>
      <c r="K129" s="141"/>
      <c r="L129" s="141">
        <v>26.0</v>
      </c>
      <c r="M129" s="128">
        <f t="shared" si="7"/>
        <v>11330.84902</v>
      </c>
      <c r="N129" s="148">
        <f t="shared" si="8"/>
        <v>88.20224047</v>
      </c>
      <c r="O129" s="155">
        <f t="shared" si="9"/>
        <v>2209.962792</v>
      </c>
      <c r="P129" s="156">
        <f t="shared" ref="P129:Q129" si="34">P128+$L$7</f>
        <v>12692.40275</v>
      </c>
      <c r="Q129" s="157">
        <f t="shared" si="34"/>
        <v>12692.40275</v>
      </c>
      <c r="R129" s="147"/>
    </row>
    <row r="130" ht="14.25" customHeight="1" outlineLevel="1">
      <c r="A130" s="35"/>
      <c r="B130" s="116"/>
      <c r="C130" s="116"/>
      <c r="D130" s="141"/>
      <c r="E130" s="141">
        <v>27.0</v>
      </c>
      <c r="F130" s="128">
        <f t="shared" si="5"/>
        <v>14167.90695</v>
      </c>
      <c r="G130" s="148">
        <f t="shared" si="2"/>
        <v>8.146546497</v>
      </c>
      <c r="H130" s="149">
        <f t="shared" si="3"/>
        <v>2370.763096</v>
      </c>
      <c r="I130" s="150">
        <f t="shared" si="6"/>
        <v>111.5501485</v>
      </c>
      <c r="J130" s="35"/>
      <c r="K130" s="141"/>
      <c r="L130" s="141">
        <v>27.0</v>
      </c>
      <c r="M130" s="128">
        <f t="shared" si="7"/>
        <v>11797.14385</v>
      </c>
      <c r="N130" s="148">
        <f t="shared" si="8"/>
        <v>88.47036</v>
      </c>
      <c r="O130" s="155">
        <f t="shared" si="9"/>
        <v>2298.433152</v>
      </c>
      <c r="P130" s="156">
        <f t="shared" ref="P130:Q130" si="35">P129+$L$7</f>
        <v>13180.57208</v>
      </c>
      <c r="Q130" s="157">
        <f t="shared" si="35"/>
        <v>13180.57208</v>
      </c>
      <c r="R130" s="147"/>
    </row>
    <row r="131" ht="14.25" customHeight="1" outlineLevel="1">
      <c r="A131" s="35"/>
      <c r="B131" s="116"/>
      <c r="C131" s="116"/>
      <c r="D131" s="141"/>
      <c r="E131" s="141">
        <v>28.0</v>
      </c>
      <c r="F131" s="128">
        <f t="shared" si="5"/>
        <v>14730.75127</v>
      </c>
      <c r="G131" s="148">
        <f t="shared" si="2"/>
        <v>8.470181978</v>
      </c>
      <c r="H131" s="149">
        <f t="shared" si="3"/>
        <v>2464.945712</v>
      </c>
      <c r="I131" s="150">
        <f t="shared" si="6"/>
        <v>120.0203305</v>
      </c>
      <c r="J131" s="35"/>
      <c r="K131" s="141"/>
      <c r="L131" s="141">
        <v>28.0</v>
      </c>
      <c r="M131" s="128">
        <f t="shared" si="7"/>
        <v>12265.80555</v>
      </c>
      <c r="N131" s="148">
        <f t="shared" si="8"/>
        <v>88.73984048</v>
      </c>
      <c r="O131" s="155">
        <f t="shared" si="9"/>
        <v>2387.172992</v>
      </c>
      <c r="P131" s="156">
        <f t="shared" ref="P131:Q131" si="36">P130+$L$7</f>
        <v>13668.74142</v>
      </c>
      <c r="Q131" s="157">
        <f t="shared" si="36"/>
        <v>13668.74142</v>
      </c>
      <c r="R131" s="147"/>
    </row>
    <row r="132" ht="14.25" customHeight="1" outlineLevel="1">
      <c r="A132" s="35"/>
      <c r="B132" s="116"/>
      <c r="C132" s="116"/>
      <c r="D132" s="141"/>
      <c r="E132" s="141">
        <v>29.0</v>
      </c>
      <c r="F132" s="128">
        <f t="shared" si="5"/>
        <v>15296.45252</v>
      </c>
      <c r="G132" s="148">
        <f t="shared" si="2"/>
        <v>8.795460198</v>
      </c>
      <c r="H132" s="149">
        <f t="shared" si="3"/>
        <v>2559.606388</v>
      </c>
      <c r="I132" s="150">
        <f t="shared" si="6"/>
        <v>128.8157907</v>
      </c>
      <c r="J132" s="35"/>
      <c r="K132" s="141"/>
      <c r="L132" s="141">
        <v>29.0</v>
      </c>
      <c r="M132" s="128">
        <f t="shared" si="7"/>
        <v>12736.84613</v>
      </c>
      <c r="N132" s="148">
        <f t="shared" si="8"/>
        <v>89.01068881</v>
      </c>
      <c r="O132" s="155">
        <f t="shared" si="9"/>
        <v>2476.183681</v>
      </c>
      <c r="P132" s="156">
        <f t="shared" ref="P132:Q132" si="37">P131+$L$7</f>
        <v>14156.91075</v>
      </c>
      <c r="Q132" s="157">
        <f t="shared" si="37"/>
        <v>14156.91075</v>
      </c>
      <c r="R132" s="147"/>
    </row>
    <row r="133" ht="14.25" customHeight="1" outlineLevel="1">
      <c r="A133" s="35"/>
      <c r="B133" s="116"/>
      <c r="C133" s="116"/>
      <c r="D133" s="141"/>
      <c r="E133" s="141">
        <v>30.0</v>
      </c>
      <c r="F133" s="128">
        <f t="shared" si="5"/>
        <v>15865.02521</v>
      </c>
      <c r="G133" s="148">
        <f t="shared" si="2"/>
        <v>9.122389496</v>
      </c>
      <c r="H133" s="149">
        <f t="shared" si="3"/>
        <v>2654.747552</v>
      </c>
      <c r="I133" s="150">
        <f t="shared" si="6"/>
        <v>137.9381802</v>
      </c>
      <c r="J133" s="35"/>
      <c r="K133" s="141"/>
      <c r="L133" s="141">
        <v>30.0</v>
      </c>
      <c r="M133" s="128">
        <f t="shared" si="7"/>
        <v>13210.27766</v>
      </c>
      <c r="N133" s="148">
        <f t="shared" si="8"/>
        <v>89.28291194</v>
      </c>
      <c r="O133" s="155">
        <f t="shared" si="9"/>
        <v>2565.466593</v>
      </c>
      <c r="P133" s="156">
        <f t="shared" ref="P133:Q133" si="38">P132+$L$7</f>
        <v>14645.08009</v>
      </c>
      <c r="Q133" s="157">
        <f t="shared" si="38"/>
        <v>14645.08009</v>
      </c>
      <c r="R133" s="147"/>
    </row>
    <row r="134" ht="14.25" customHeight="1" outlineLevel="1">
      <c r="A134" s="35"/>
      <c r="B134" s="116"/>
      <c r="C134" s="116"/>
      <c r="D134" s="141"/>
      <c r="E134" s="141">
        <v>31.0</v>
      </c>
      <c r="F134" s="128">
        <f t="shared" si="5"/>
        <v>16436.48392</v>
      </c>
      <c r="G134" s="148">
        <f t="shared" si="2"/>
        <v>9.450978252</v>
      </c>
      <c r="H134" s="149">
        <f t="shared" si="3"/>
        <v>2750.371642</v>
      </c>
      <c r="I134" s="150">
        <f t="shared" si="6"/>
        <v>147.3891584</v>
      </c>
      <c r="J134" s="35"/>
      <c r="K134" s="141"/>
      <c r="L134" s="141">
        <v>31.0</v>
      </c>
      <c r="M134" s="128">
        <f t="shared" si="7"/>
        <v>13686.11227</v>
      </c>
      <c r="N134" s="148">
        <f t="shared" si="8"/>
        <v>89.55651684</v>
      </c>
      <c r="O134" s="155">
        <f t="shared" si="9"/>
        <v>2655.02311</v>
      </c>
      <c r="P134" s="156">
        <f t="shared" ref="P134:Q134" si="39">P133+$L$7</f>
        <v>15133.24943</v>
      </c>
      <c r="Q134" s="157">
        <f t="shared" si="39"/>
        <v>15133.24943</v>
      </c>
      <c r="R134" s="147"/>
    </row>
    <row r="135" ht="14.25" customHeight="1" outlineLevel="1">
      <c r="A135" s="35"/>
      <c r="B135" s="116"/>
      <c r="C135" s="116"/>
      <c r="D135" s="141"/>
      <c r="E135" s="141">
        <v>32.0</v>
      </c>
      <c r="F135" s="128">
        <f t="shared" si="5"/>
        <v>17010.84329</v>
      </c>
      <c r="G135" s="148">
        <f t="shared" si="2"/>
        <v>9.781234891</v>
      </c>
      <c r="H135" s="149">
        <f t="shared" si="3"/>
        <v>2846.48111</v>
      </c>
      <c r="I135" s="150">
        <f t="shared" si="6"/>
        <v>157.1703933</v>
      </c>
      <c r="J135" s="35"/>
      <c r="K135" s="141"/>
      <c r="L135" s="141">
        <v>32.0</v>
      </c>
      <c r="M135" s="128">
        <f t="shared" si="7"/>
        <v>14164.36218</v>
      </c>
      <c r="N135" s="148">
        <f t="shared" si="8"/>
        <v>89.83151054</v>
      </c>
      <c r="O135" s="155">
        <f t="shared" si="9"/>
        <v>2744.854621</v>
      </c>
      <c r="P135" s="156">
        <f t="shared" ref="P135:Q135" si="40">P134+$L$7</f>
        <v>15621.41876</v>
      </c>
      <c r="Q135" s="157">
        <f t="shared" si="40"/>
        <v>15621.41876</v>
      </c>
      <c r="R135" s="147"/>
    </row>
    <row r="136" ht="14.25" customHeight="1" outlineLevel="1">
      <c r="A136" s="35"/>
      <c r="B136" s="116"/>
      <c r="C136" s="116"/>
      <c r="D136" s="141"/>
      <c r="E136" s="141">
        <v>33.0</v>
      </c>
      <c r="F136" s="128">
        <f t="shared" si="5"/>
        <v>17588.11805</v>
      </c>
      <c r="G136" s="148">
        <f t="shared" si="2"/>
        <v>10.11316788</v>
      </c>
      <c r="H136" s="149">
        <f t="shared" si="3"/>
        <v>2943.07842</v>
      </c>
      <c r="I136" s="150">
        <f t="shared" si="6"/>
        <v>167.2835612</v>
      </c>
      <c r="J136" s="35"/>
      <c r="K136" s="141"/>
      <c r="L136" s="141">
        <v>33.0</v>
      </c>
      <c r="M136" s="128">
        <f t="shared" si="7"/>
        <v>14645.03963</v>
      </c>
      <c r="N136" s="148">
        <f t="shared" si="8"/>
        <v>90.10790007</v>
      </c>
      <c r="O136" s="155">
        <f t="shared" si="9"/>
        <v>2834.962521</v>
      </c>
      <c r="P136" s="156">
        <f t="shared" ref="P136:Q136" si="41">P135+$L$7</f>
        <v>16109.5881</v>
      </c>
      <c r="Q136" s="157">
        <f t="shared" si="41"/>
        <v>16109.5881</v>
      </c>
      <c r="R136" s="147"/>
    </row>
    <row r="137" ht="14.25" customHeight="1" outlineLevel="1">
      <c r="A137" s="35"/>
      <c r="B137" s="116"/>
      <c r="C137" s="116"/>
      <c r="D137" s="141"/>
      <c r="E137" s="141">
        <v>34.0</v>
      </c>
      <c r="F137" s="128">
        <f t="shared" si="5"/>
        <v>18168.32299</v>
      </c>
      <c r="G137" s="148">
        <f t="shared" si="2"/>
        <v>10.44678572</v>
      </c>
      <c r="H137" s="149">
        <f t="shared" si="3"/>
        <v>3040.166047</v>
      </c>
      <c r="I137" s="150">
        <f t="shared" si="6"/>
        <v>177.7303469</v>
      </c>
      <c r="J137" s="35"/>
      <c r="K137" s="141"/>
      <c r="L137" s="141">
        <v>34.0</v>
      </c>
      <c r="M137" s="128">
        <f t="shared" si="7"/>
        <v>15128.15694</v>
      </c>
      <c r="N137" s="148">
        <f t="shared" si="8"/>
        <v>90.38569253</v>
      </c>
      <c r="O137" s="155">
        <f t="shared" si="9"/>
        <v>2925.348213</v>
      </c>
      <c r="P137" s="156">
        <f t="shared" ref="P137:Q137" si="42">P136+$L$7</f>
        <v>16597.75744</v>
      </c>
      <c r="Q137" s="157">
        <f t="shared" si="42"/>
        <v>16597.75744</v>
      </c>
      <c r="R137" s="147"/>
    </row>
    <row r="138" ht="14.25" customHeight="1" outlineLevel="1">
      <c r="A138" s="35"/>
      <c r="B138" s="116"/>
      <c r="C138" s="116"/>
      <c r="D138" s="141"/>
      <c r="E138" s="141">
        <v>35.0</v>
      </c>
      <c r="F138" s="128">
        <f t="shared" si="5"/>
        <v>18751.47299</v>
      </c>
      <c r="G138" s="148">
        <f t="shared" si="2"/>
        <v>10.78209697</v>
      </c>
      <c r="H138" s="149">
        <f t="shared" si="3"/>
        <v>3137.746481</v>
      </c>
      <c r="I138" s="150">
        <f t="shared" si="6"/>
        <v>188.5124439</v>
      </c>
      <c r="J138" s="35"/>
      <c r="K138" s="141"/>
      <c r="L138" s="141">
        <v>35.0</v>
      </c>
      <c r="M138" s="128">
        <f t="shared" si="7"/>
        <v>15613.72651</v>
      </c>
      <c r="N138" s="148">
        <f t="shared" si="8"/>
        <v>90.66489503</v>
      </c>
      <c r="O138" s="155">
        <f t="shared" si="9"/>
        <v>3016.013108</v>
      </c>
      <c r="P138" s="156">
        <f t="shared" ref="P138:Q138" si="43">P137+$L$7</f>
        <v>17085.92677</v>
      </c>
      <c r="Q138" s="157">
        <f t="shared" si="43"/>
        <v>17085.92677</v>
      </c>
      <c r="R138" s="147"/>
    </row>
    <row r="139" ht="14.25" customHeight="1" outlineLevel="1">
      <c r="A139" s="35"/>
      <c r="B139" s="116"/>
      <c r="C139" s="116"/>
      <c r="D139" s="141">
        <v>3.0</v>
      </c>
      <c r="E139" s="141">
        <v>36.0</v>
      </c>
      <c r="F139" s="128">
        <f t="shared" si="5"/>
        <v>19337.583</v>
      </c>
      <c r="G139" s="148">
        <f t="shared" si="2"/>
        <v>11.11911023</v>
      </c>
      <c r="H139" s="149">
        <f t="shared" si="3"/>
        <v>3235.822223</v>
      </c>
      <c r="I139" s="150">
        <f t="shared" si="6"/>
        <v>199.6315541</v>
      </c>
      <c r="J139" s="35"/>
      <c r="K139" s="141">
        <v>3.0</v>
      </c>
      <c r="L139" s="141">
        <v>36.0</v>
      </c>
      <c r="M139" s="128">
        <f t="shared" si="7"/>
        <v>16101.76078</v>
      </c>
      <c r="N139" s="148">
        <f t="shared" si="8"/>
        <v>90.94551473</v>
      </c>
      <c r="O139" s="155">
        <f t="shared" si="9"/>
        <v>3106.958623</v>
      </c>
      <c r="P139" s="156">
        <f t="shared" ref="P139:Q139" si="44">P138+$L$7</f>
        <v>17574.09611</v>
      </c>
      <c r="Q139" s="157">
        <f t="shared" si="44"/>
        <v>17574.09611</v>
      </c>
      <c r="R139" s="147"/>
    </row>
    <row r="140" ht="14.25" customHeight="1" outlineLevel="1">
      <c r="A140" s="35"/>
      <c r="B140" s="116"/>
      <c r="C140" s="116"/>
      <c r="D140" s="141"/>
      <c r="E140" s="141">
        <v>37.0</v>
      </c>
      <c r="F140" s="128">
        <f t="shared" si="5"/>
        <v>19926.66805</v>
      </c>
      <c r="G140" s="148">
        <f t="shared" si="2"/>
        <v>11.45783413</v>
      </c>
      <c r="H140" s="149">
        <f t="shared" si="3"/>
        <v>3334.395787</v>
      </c>
      <c r="I140" s="150">
        <f t="shared" si="6"/>
        <v>211.0893882</v>
      </c>
      <c r="J140" s="35"/>
      <c r="K140" s="141"/>
      <c r="L140" s="141">
        <v>37.0</v>
      </c>
      <c r="M140" s="128">
        <f t="shared" si="7"/>
        <v>16592.27226</v>
      </c>
      <c r="N140" s="148">
        <f t="shared" si="8"/>
        <v>91.22755883</v>
      </c>
      <c r="O140" s="155">
        <f t="shared" si="9"/>
        <v>3198.186182</v>
      </c>
      <c r="P140" s="156">
        <f t="shared" ref="P140:Q140" si="45">P139+$L$7</f>
        <v>18062.26545</v>
      </c>
      <c r="Q140" s="157">
        <f t="shared" si="45"/>
        <v>18062.26545</v>
      </c>
      <c r="R140" s="147"/>
    </row>
    <row r="141" ht="14.25" customHeight="1" outlineLevel="1">
      <c r="A141" s="35"/>
      <c r="B141" s="116"/>
      <c r="C141" s="116"/>
      <c r="D141" s="141"/>
      <c r="E141" s="141">
        <v>38.0</v>
      </c>
      <c r="F141" s="128">
        <f t="shared" si="5"/>
        <v>20518.74322</v>
      </c>
      <c r="G141" s="148">
        <f t="shared" si="2"/>
        <v>11.79827735</v>
      </c>
      <c r="H141" s="149">
        <f t="shared" si="3"/>
        <v>3433.469699</v>
      </c>
      <c r="I141" s="150">
        <f t="shared" si="6"/>
        <v>222.8876656</v>
      </c>
      <c r="J141" s="35"/>
      <c r="K141" s="141"/>
      <c r="L141" s="141">
        <v>38.0</v>
      </c>
      <c r="M141" s="128">
        <f t="shared" si="7"/>
        <v>17085.27352</v>
      </c>
      <c r="N141" s="148">
        <f t="shared" si="8"/>
        <v>91.51103456</v>
      </c>
      <c r="O141" s="155">
        <f t="shared" si="9"/>
        <v>3289.697216</v>
      </c>
      <c r="P141" s="156">
        <f t="shared" ref="P141:Q141" si="46">P140+$L$7</f>
        <v>18550.43478</v>
      </c>
      <c r="Q141" s="157">
        <f t="shared" si="46"/>
        <v>18550.43478</v>
      </c>
      <c r="R141" s="147"/>
    </row>
    <row r="142" ht="14.25" customHeight="1" outlineLevel="1">
      <c r="A142" s="35"/>
      <c r="B142" s="116"/>
      <c r="C142" s="116"/>
      <c r="D142" s="141"/>
      <c r="E142" s="141">
        <v>39.0</v>
      </c>
      <c r="F142" s="128">
        <f t="shared" si="5"/>
        <v>21113.82371</v>
      </c>
      <c r="G142" s="148">
        <f t="shared" si="2"/>
        <v>12.14044863</v>
      </c>
      <c r="H142" s="149">
        <f t="shared" si="3"/>
        <v>3533.046501</v>
      </c>
      <c r="I142" s="150">
        <f t="shared" si="6"/>
        <v>235.0281142</v>
      </c>
      <c r="J142" s="35"/>
      <c r="K142" s="141"/>
      <c r="L142" s="141">
        <v>39.0</v>
      </c>
      <c r="M142" s="128">
        <f t="shared" si="7"/>
        <v>17580.77721</v>
      </c>
      <c r="N142" s="148">
        <f t="shared" si="8"/>
        <v>91.79594918</v>
      </c>
      <c r="O142" s="155">
        <f t="shared" si="9"/>
        <v>3381.493165</v>
      </c>
      <c r="P142" s="156">
        <f t="shared" ref="P142:Q142" si="47">P141+$L$7</f>
        <v>19038.60412</v>
      </c>
      <c r="Q142" s="157">
        <f t="shared" si="47"/>
        <v>19038.60412</v>
      </c>
      <c r="R142" s="147"/>
    </row>
    <row r="143" ht="14.25" customHeight="1" outlineLevel="1">
      <c r="A143" s="35"/>
      <c r="B143" s="116"/>
      <c r="C143" s="116"/>
      <c r="D143" s="141"/>
      <c r="E143" s="141">
        <v>40.0</v>
      </c>
      <c r="F143" s="128">
        <f t="shared" si="5"/>
        <v>21711.92476</v>
      </c>
      <c r="G143" s="148">
        <f t="shared" si="2"/>
        <v>12.48435674</v>
      </c>
      <c r="H143" s="149">
        <f t="shared" si="3"/>
        <v>3633.128744</v>
      </c>
      <c r="I143" s="150">
        <f t="shared" si="6"/>
        <v>247.512471</v>
      </c>
      <c r="J143" s="35"/>
      <c r="K143" s="141"/>
      <c r="L143" s="141">
        <v>40.0</v>
      </c>
      <c r="M143" s="128">
        <f t="shared" si="7"/>
        <v>18078.79602</v>
      </c>
      <c r="N143" s="148">
        <f t="shared" si="8"/>
        <v>92.08231</v>
      </c>
      <c r="O143" s="155">
        <f t="shared" si="9"/>
        <v>3473.575475</v>
      </c>
      <c r="P143" s="156">
        <f t="shared" ref="P143:Q143" si="48">P142+$L$7</f>
        <v>19526.77345</v>
      </c>
      <c r="Q143" s="157">
        <f t="shared" si="48"/>
        <v>19526.77345</v>
      </c>
      <c r="R143" s="147"/>
    </row>
    <row r="144" ht="14.25" customHeight="1" outlineLevel="1">
      <c r="A144" s="35"/>
      <c r="B144" s="116"/>
      <c r="C144" s="116"/>
      <c r="D144" s="141"/>
      <c r="E144" s="141">
        <v>41.0</v>
      </c>
      <c r="F144" s="128">
        <f t="shared" si="5"/>
        <v>22313.06172</v>
      </c>
      <c r="G144" s="148">
        <f t="shared" si="2"/>
        <v>12.83001049</v>
      </c>
      <c r="H144" s="149">
        <f t="shared" si="3"/>
        <v>3733.718994</v>
      </c>
      <c r="I144" s="150">
        <f t="shared" si="6"/>
        <v>260.3424814</v>
      </c>
      <c r="J144" s="35"/>
      <c r="K144" s="141"/>
      <c r="L144" s="141">
        <v>41.0</v>
      </c>
      <c r="M144" s="128">
        <f t="shared" si="7"/>
        <v>18579.34272</v>
      </c>
      <c r="N144" s="148">
        <f t="shared" si="8"/>
        <v>92.37012435</v>
      </c>
      <c r="O144" s="155">
        <f t="shared" si="9"/>
        <v>3565.9456</v>
      </c>
      <c r="P144" s="156">
        <f t="shared" ref="P144:Q144" si="49">P143+$L$7</f>
        <v>20014.94279</v>
      </c>
      <c r="Q144" s="157">
        <f t="shared" si="49"/>
        <v>20014.94279</v>
      </c>
      <c r="R144" s="147"/>
    </row>
    <row r="145" ht="14.25" customHeight="1" outlineLevel="1">
      <c r="A145" s="35"/>
      <c r="B145" s="116"/>
      <c r="C145" s="116"/>
      <c r="D145" s="141"/>
      <c r="E145" s="141">
        <v>42.0</v>
      </c>
      <c r="F145" s="128">
        <f t="shared" si="5"/>
        <v>22917.24997</v>
      </c>
      <c r="G145" s="148">
        <f t="shared" si="2"/>
        <v>13.17741874</v>
      </c>
      <c r="H145" s="149">
        <f t="shared" si="3"/>
        <v>3834.819829</v>
      </c>
      <c r="I145" s="150">
        <f t="shared" si="6"/>
        <v>273.5199002</v>
      </c>
      <c r="J145" s="35"/>
      <c r="K145" s="141"/>
      <c r="L145" s="141">
        <v>42.0</v>
      </c>
      <c r="M145" s="128">
        <f t="shared" si="7"/>
        <v>19082.43015</v>
      </c>
      <c r="N145" s="148">
        <f t="shared" si="8"/>
        <v>92.65939962</v>
      </c>
      <c r="O145" s="155">
        <f t="shared" si="9"/>
        <v>3658.604999</v>
      </c>
      <c r="P145" s="156">
        <f t="shared" ref="P145:Q145" si="50">P144+$L$7</f>
        <v>20503.11213</v>
      </c>
      <c r="Q145" s="157">
        <f t="shared" si="50"/>
        <v>20503.11213</v>
      </c>
      <c r="R145" s="147"/>
    </row>
    <row r="146" ht="14.25" customHeight="1" outlineLevel="1">
      <c r="A146" s="35"/>
      <c r="B146" s="116"/>
      <c r="C146" s="116"/>
      <c r="D146" s="141"/>
      <c r="E146" s="141">
        <v>43.0</v>
      </c>
      <c r="F146" s="128">
        <f t="shared" si="5"/>
        <v>23524.50503</v>
      </c>
      <c r="G146" s="148">
        <f t="shared" si="2"/>
        <v>13.52659039</v>
      </c>
      <c r="H146" s="149">
        <f t="shared" si="3"/>
        <v>3936.433841</v>
      </c>
      <c r="I146" s="150">
        <f t="shared" si="6"/>
        <v>287.0464906</v>
      </c>
      <c r="J146" s="35"/>
      <c r="K146" s="141"/>
      <c r="L146" s="141">
        <v>43.0</v>
      </c>
      <c r="M146" s="128">
        <f t="shared" si="7"/>
        <v>19588.07119</v>
      </c>
      <c r="N146" s="148">
        <f t="shared" si="8"/>
        <v>92.95014322</v>
      </c>
      <c r="O146" s="155">
        <f t="shared" si="9"/>
        <v>3751.555143</v>
      </c>
      <c r="P146" s="156">
        <f t="shared" ref="P146:Q146" si="51">P145+$L$7</f>
        <v>20991.28146</v>
      </c>
      <c r="Q146" s="157">
        <f t="shared" si="51"/>
        <v>20991.28146</v>
      </c>
      <c r="R146" s="147"/>
    </row>
    <row r="147" ht="14.25" customHeight="1" outlineLevel="1">
      <c r="A147" s="35"/>
      <c r="B147" s="116"/>
      <c r="C147" s="116"/>
      <c r="D147" s="141"/>
      <c r="E147" s="141">
        <v>44.0</v>
      </c>
      <c r="F147" s="128">
        <f t="shared" si="5"/>
        <v>24134.84245</v>
      </c>
      <c r="G147" s="148">
        <f t="shared" si="2"/>
        <v>13.87753441</v>
      </c>
      <c r="H147" s="149">
        <f t="shared" si="3"/>
        <v>4038.563636</v>
      </c>
      <c r="I147" s="150">
        <f t="shared" si="6"/>
        <v>300.924025</v>
      </c>
      <c r="J147" s="35"/>
      <c r="K147" s="141"/>
      <c r="L147" s="141">
        <v>44.0</v>
      </c>
      <c r="M147" s="128">
        <f t="shared" si="7"/>
        <v>20096.27881</v>
      </c>
      <c r="N147" s="148">
        <f t="shared" si="8"/>
        <v>93.2423626</v>
      </c>
      <c r="O147" s="155">
        <f t="shared" si="9"/>
        <v>3844.797505</v>
      </c>
      <c r="P147" s="156">
        <f t="shared" ref="P147:Q147" si="52">P146+$L$7</f>
        <v>21479.4508</v>
      </c>
      <c r="Q147" s="157">
        <f t="shared" si="52"/>
        <v>21479.4508</v>
      </c>
      <c r="R147" s="147"/>
    </row>
    <row r="148" ht="14.25" customHeight="1" outlineLevel="1">
      <c r="A148" s="35"/>
      <c r="B148" s="116"/>
      <c r="C148" s="116"/>
      <c r="D148" s="141"/>
      <c r="E148" s="141">
        <v>45.0</v>
      </c>
      <c r="F148" s="128">
        <f t="shared" si="5"/>
        <v>24748.27787</v>
      </c>
      <c r="G148" s="148">
        <f t="shared" si="2"/>
        <v>14.23025978</v>
      </c>
      <c r="H148" s="149">
        <f t="shared" si="3"/>
        <v>4141.21183</v>
      </c>
      <c r="I148" s="150">
        <f t="shared" si="6"/>
        <v>315.1542847</v>
      </c>
      <c r="J148" s="160"/>
      <c r="K148" s="141"/>
      <c r="L148" s="141">
        <v>45.0</v>
      </c>
      <c r="M148" s="128">
        <f t="shared" si="7"/>
        <v>20607.06604</v>
      </c>
      <c r="N148" s="148">
        <f t="shared" si="8"/>
        <v>93.53606526</v>
      </c>
      <c r="O148" s="155">
        <f t="shared" si="9"/>
        <v>3938.333571</v>
      </c>
      <c r="P148" s="156">
        <f t="shared" ref="P148:Q148" si="53">P147+$L$7</f>
        <v>21967.62014</v>
      </c>
      <c r="Q148" s="157">
        <f t="shared" si="53"/>
        <v>21967.62014</v>
      </c>
      <c r="R148" s="147"/>
    </row>
    <row r="149" ht="14.25" customHeight="1" outlineLevel="1">
      <c r="A149" s="35"/>
      <c r="B149" s="116"/>
      <c r="C149" s="116"/>
      <c r="D149" s="141"/>
      <c r="E149" s="141">
        <v>46.0</v>
      </c>
      <c r="F149" s="128">
        <f t="shared" si="5"/>
        <v>25364.82703</v>
      </c>
      <c r="G149" s="148">
        <f t="shared" si="2"/>
        <v>14.58477554</v>
      </c>
      <c r="H149" s="149">
        <f t="shared" si="3"/>
        <v>4244.381056</v>
      </c>
      <c r="I149" s="150">
        <f t="shared" si="6"/>
        <v>329.7390603</v>
      </c>
      <c r="J149" s="161"/>
      <c r="K149" s="141"/>
      <c r="L149" s="141">
        <v>46.0</v>
      </c>
      <c r="M149" s="128">
        <f t="shared" si="7"/>
        <v>21120.44597</v>
      </c>
      <c r="N149" s="148">
        <f t="shared" si="8"/>
        <v>93.83125872</v>
      </c>
      <c r="O149" s="155">
        <f t="shared" si="9"/>
        <v>4032.164829</v>
      </c>
      <c r="P149" s="156">
        <f t="shared" ref="P149:Q149" si="54">P148+$L$7</f>
        <v>22455.78947</v>
      </c>
      <c r="Q149" s="157">
        <f t="shared" si="54"/>
        <v>22455.78947</v>
      </c>
      <c r="R149" s="147"/>
    </row>
    <row r="150" ht="14.25" customHeight="1" outlineLevel="1">
      <c r="A150" s="35"/>
      <c r="B150" s="116"/>
      <c r="C150" s="116"/>
      <c r="D150" s="141"/>
      <c r="E150" s="141">
        <v>47.0</v>
      </c>
      <c r="F150" s="128">
        <f t="shared" si="5"/>
        <v>25984.50572</v>
      </c>
      <c r="G150" s="148">
        <f t="shared" si="2"/>
        <v>14.94109079</v>
      </c>
      <c r="H150" s="149">
        <f t="shared" si="3"/>
        <v>4348.073958</v>
      </c>
      <c r="I150" s="150">
        <f t="shared" si="6"/>
        <v>344.6801511</v>
      </c>
      <c r="J150" s="35"/>
      <c r="K150" s="141"/>
      <c r="L150" s="141">
        <v>47.0</v>
      </c>
      <c r="M150" s="128">
        <f t="shared" si="7"/>
        <v>21636.43177</v>
      </c>
      <c r="N150" s="148">
        <f t="shared" si="8"/>
        <v>94.12795055</v>
      </c>
      <c r="O150" s="155">
        <f t="shared" si="9"/>
        <v>4126.29278</v>
      </c>
      <c r="P150" s="156">
        <f t="shared" ref="P150:Q150" si="55">P149+$L$7</f>
        <v>22943.95881</v>
      </c>
      <c r="Q150" s="157">
        <f t="shared" si="55"/>
        <v>22943.95881</v>
      </c>
      <c r="R150" s="147"/>
    </row>
    <row r="151" ht="14.25" customHeight="1" outlineLevel="1">
      <c r="A151" s="35"/>
      <c r="B151" s="116"/>
      <c r="C151" s="116"/>
      <c r="D151" s="141">
        <v>4.0</v>
      </c>
      <c r="E151" s="141">
        <v>48.0</v>
      </c>
      <c r="F151" s="128">
        <f t="shared" si="5"/>
        <v>26607.32984</v>
      </c>
      <c r="G151" s="148">
        <f t="shared" si="2"/>
        <v>15.29921466</v>
      </c>
      <c r="H151" s="149">
        <f t="shared" si="3"/>
        <v>4452.293194</v>
      </c>
      <c r="I151" s="150">
        <f t="shared" si="6"/>
        <v>359.9793657</v>
      </c>
      <c r="J151" s="35"/>
      <c r="K151" s="141">
        <v>4.0</v>
      </c>
      <c r="L151" s="141">
        <v>48.0</v>
      </c>
      <c r="M151" s="128">
        <f t="shared" si="7"/>
        <v>22155.03665</v>
      </c>
      <c r="N151" s="148">
        <f t="shared" si="8"/>
        <v>94.42614836</v>
      </c>
      <c r="O151" s="155">
        <f t="shared" si="9"/>
        <v>4220.718928</v>
      </c>
      <c r="P151" s="156">
        <f t="shared" ref="P151:Q151" si="56">P150+$L$7</f>
        <v>23432.12815</v>
      </c>
      <c r="Q151" s="157">
        <f t="shared" si="56"/>
        <v>23432.12815</v>
      </c>
      <c r="R151" s="147"/>
    </row>
    <row r="152" ht="14.25" customHeight="1" outlineLevel="1">
      <c r="A152" s="35"/>
      <c r="B152" s="116"/>
      <c r="C152" s="116"/>
      <c r="D152" s="141"/>
      <c r="E152" s="141">
        <v>49.0</v>
      </c>
      <c r="F152" s="128">
        <f t="shared" si="5"/>
        <v>27233.31535</v>
      </c>
      <c r="G152" s="148">
        <f t="shared" si="2"/>
        <v>15.65915633</v>
      </c>
      <c r="H152" s="149">
        <f t="shared" si="3"/>
        <v>4557.041436</v>
      </c>
      <c r="I152" s="150">
        <f t="shared" si="6"/>
        <v>375.6385221</v>
      </c>
      <c r="J152" s="35"/>
      <c r="K152" s="141"/>
      <c r="L152" s="141">
        <v>49.0</v>
      </c>
      <c r="M152" s="128">
        <f t="shared" si="7"/>
        <v>22676.27392</v>
      </c>
      <c r="N152" s="148">
        <f t="shared" si="8"/>
        <v>94.72585979</v>
      </c>
      <c r="O152" s="155">
        <f t="shared" si="9"/>
        <v>4315.444788</v>
      </c>
      <c r="P152" s="156">
        <f t="shared" ref="P152:Q152" si="57">P151+$L$7</f>
        <v>23920.29748</v>
      </c>
      <c r="Q152" s="157">
        <f t="shared" si="57"/>
        <v>23920.29748</v>
      </c>
      <c r="R152" s="147"/>
    </row>
    <row r="153" ht="14.25" customHeight="1" outlineLevel="1">
      <c r="A153" s="35"/>
      <c r="B153" s="116"/>
      <c r="C153" s="116"/>
      <c r="D153" s="141"/>
      <c r="E153" s="141">
        <v>50.0</v>
      </c>
      <c r="F153" s="128">
        <f t="shared" si="5"/>
        <v>27862.4783</v>
      </c>
      <c r="G153" s="148">
        <f t="shared" si="2"/>
        <v>16.02092502</v>
      </c>
      <c r="H153" s="149">
        <f t="shared" si="3"/>
        <v>4662.321369</v>
      </c>
      <c r="I153" s="150">
        <f t="shared" si="6"/>
        <v>391.6594471</v>
      </c>
      <c r="J153" s="35"/>
      <c r="K153" s="141"/>
      <c r="L153" s="141">
        <v>50.0</v>
      </c>
      <c r="M153" s="128">
        <f t="shared" si="7"/>
        <v>23200.15693</v>
      </c>
      <c r="N153" s="148">
        <f t="shared" si="8"/>
        <v>95.02709252</v>
      </c>
      <c r="O153" s="155">
        <f t="shared" si="9"/>
        <v>4410.47188</v>
      </c>
      <c r="P153" s="156">
        <f t="shared" ref="P153:Q153" si="58">P152+$L$7</f>
        <v>24408.46682</v>
      </c>
      <c r="Q153" s="157">
        <f t="shared" si="58"/>
        <v>24408.46682</v>
      </c>
      <c r="R153" s="147"/>
    </row>
    <row r="154" ht="14.25" customHeight="1" outlineLevel="1">
      <c r="A154" s="35"/>
      <c r="B154" s="116"/>
      <c r="C154" s="116"/>
      <c r="D154" s="141"/>
      <c r="E154" s="141">
        <v>51.0</v>
      </c>
      <c r="F154" s="128">
        <f t="shared" si="5"/>
        <v>28494.83481</v>
      </c>
      <c r="G154" s="148">
        <f t="shared" si="2"/>
        <v>16.38453002</v>
      </c>
      <c r="H154" s="149">
        <f t="shared" si="3"/>
        <v>4768.135692</v>
      </c>
      <c r="I154" s="150">
        <f t="shared" si="6"/>
        <v>408.0439771</v>
      </c>
      <c r="J154" s="35"/>
      <c r="K154" s="141"/>
      <c r="L154" s="141">
        <v>51.0</v>
      </c>
      <c r="M154" s="128">
        <f t="shared" si="7"/>
        <v>23726.69912</v>
      </c>
      <c r="N154" s="148">
        <f t="shared" si="8"/>
        <v>95.32985428</v>
      </c>
      <c r="O154" s="155">
        <f t="shared" si="9"/>
        <v>4505.801735</v>
      </c>
      <c r="P154" s="156">
        <f t="shared" ref="P154:Q154" si="59">P153+$L$7</f>
        <v>24896.63615</v>
      </c>
      <c r="Q154" s="157">
        <f t="shared" si="59"/>
        <v>24896.63615</v>
      </c>
      <c r="R154" s="147"/>
    </row>
    <row r="155" ht="14.25" customHeight="1" outlineLevel="1">
      <c r="A155" s="35"/>
      <c r="B155" s="116"/>
      <c r="C155" s="116"/>
      <c r="D155" s="141"/>
      <c r="E155" s="141">
        <v>52.0</v>
      </c>
      <c r="F155" s="128">
        <f t="shared" si="5"/>
        <v>29130.4011</v>
      </c>
      <c r="G155" s="148">
        <f t="shared" si="2"/>
        <v>16.74998063</v>
      </c>
      <c r="H155" s="149">
        <f t="shared" si="3"/>
        <v>4874.487117</v>
      </c>
      <c r="I155" s="150">
        <f t="shared" si="6"/>
        <v>424.7939577</v>
      </c>
      <c r="J155" s="35"/>
      <c r="K155" s="141"/>
      <c r="L155" s="141">
        <v>52.0</v>
      </c>
      <c r="M155" s="128">
        <f t="shared" si="7"/>
        <v>24255.91398</v>
      </c>
      <c r="N155" s="148">
        <f t="shared" si="8"/>
        <v>95.63415282</v>
      </c>
      <c r="O155" s="155">
        <f t="shared" si="9"/>
        <v>4601.435888</v>
      </c>
      <c r="P155" s="156">
        <f t="shared" ref="P155:Q155" si="60">P154+$L$7</f>
        <v>25384.80549</v>
      </c>
      <c r="Q155" s="157">
        <f t="shared" si="60"/>
        <v>25384.80549</v>
      </c>
      <c r="R155" s="147"/>
    </row>
    <row r="156" ht="14.25" customHeight="1" outlineLevel="1">
      <c r="A156" s="35"/>
      <c r="B156" s="116"/>
      <c r="C156" s="116"/>
      <c r="D156" s="141"/>
      <c r="E156" s="141">
        <v>53.0</v>
      </c>
      <c r="F156" s="128">
        <f t="shared" si="5"/>
        <v>29769.19345</v>
      </c>
      <c r="G156" s="148">
        <f t="shared" si="2"/>
        <v>17.11728623</v>
      </c>
      <c r="H156" s="149">
        <f t="shared" si="3"/>
        <v>4981.37837</v>
      </c>
      <c r="I156" s="150">
        <f t="shared" si="6"/>
        <v>441.911244</v>
      </c>
      <c r="J156" s="35"/>
      <c r="K156" s="141"/>
      <c r="L156" s="141">
        <v>53.0</v>
      </c>
      <c r="M156" s="128">
        <f t="shared" si="7"/>
        <v>24787.81508</v>
      </c>
      <c r="N156" s="148">
        <f t="shared" si="8"/>
        <v>95.93999595</v>
      </c>
      <c r="O156" s="155">
        <f t="shared" si="9"/>
        <v>4697.375884</v>
      </c>
      <c r="P156" s="156">
        <f t="shared" ref="P156:Q156" si="61">P155+$L$7</f>
        <v>25872.97483</v>
      </c>
      <c r="Q156" s="157">
        <f t="shared" si="61"/>
        <v>25872.97483</v>
      </c>
      <c r="R156" s="147"/>
    </row>
    <row r="157" ht="14.25" customHeight="1" outlineLevel="1">
      <c r="A157" s="35"/>
      <c r="B157" s="116"/>
      <c r="C157" s="116"/>
      <c r="D157" s="141"/>
      <c r="E157" s="141">
        <v>54.0</v>
      </c>
      <c r="F157" s="128">
        <f t="shared" si="5"/>
        <v>30411.22824</v>
      </c>
      <c r="G157" s="148">
        <f t="shared" si="2"/>
        <v>17.48645624</v>
      </c>
      <c r="H157" s="149">
        <f t="shared" si="3"/>
        <v>5088.812193</v>
      </c>
      <c r="I157" s="150">
        <f t="shared" si="6"/>
        <v>459.3977002</v>
      </c>
      <c r="J157" s="35"/>
      <c r="K157" s="141"/>
      <c r="L157" s="141">
        <v>54.0</v>
      </c>
      <c r="M157" s="128">
        <f t="shared" si="7"/>
        <v>25322.41605</v>
      </c>
      <c r="N157" s="148">
        <f t="shared" si="8"/>
        <v>96.24739151</v>
      </c>
      <c r="O157" s="155">
        <f t="shared" si="9"/>
        <v>4793.623275</v>
      </c>
      <c r="P157" s="156">
        <f t="shared" ref="P157:Q157" si="62">P156+$L$7</f>
        <v>26361.14416</v>
      </c>
      <c r="Q157" s="157">
        <f t="shared" si="62"/>
        <v>26361.14416</v>
      </c>
      <c r="R157" s="147"/>
    </row>
    <row r="158" ht="14.25" customHeight="1" outlineLevel="1">
      <c r="A158" s="35"/>
      <c r="B158" s="116"/>
      <c r="C158" s="116"/>
      <c r="D158" s="141"/>
      <c r="E158" s="141">
        <v>55.0</v>
      </c>
      <c r="F158" s="128">
        <f t="shared" si="5"/>
        <v>31056.52194</v>
      </c>
      <c r="G158" s="148">
        <f t="shared" si="2"/>
        <v>17.85750011</v>
      </c>
      <c r="H158" s="149">
        <f t="shared" si="3"/>
        <v>5196.791338</v>
      </c>
      <c r="I158" s="150">
        <f t="shared" si="6"/>
        <v>477.2552003</v>
      </c>
      <c r="J158" s="35"/>
      <c r="K158" s="141"/>
      <c r="L158" s="141">
        <v>55.0</v>
      </c>
      <c r="M158" s="128">
        <f t="shared" si="7"/>
        <v>25859.7306</v>
      </c>
      <c r="N158" s="148">
        <f t="shared" si="8"/>
        <v>96.55634738</v>
      </c>
      <c r="O158" s="155">
        <f t="shared" si="9"/>
        <v>4890.179622</v>
      </c>
      <c r="P158" s="156">
        <f t="shared" ref="P158:Q158" si="63">P157+$L$7</f>
        <v>26849.3135</v>
      </c>
      <c r="Q158" s="157">
        <f t="shared" si="63"/>
        <v>26849.3135</v>
      </c>
      <c r="R158" s="147"/>
    </row>
    <row r="159" ht="14.25" customHeight="1" outlineLevel="1">
      <c r="A159" s="35"/>
      <c r="B159" s="116"/>
      <c r="C159" s="116"/>
      <c r="D159" s="141"/>
      <c r="E159" s="141">
        <v>56.0</v>
      </c>
      <c r="F159" s="128">
        <f t="shared" si="5"/>
        <v>31705.09108</v>
      </c>
      <c r="G159" s="148">
        <f t="shared" si="2"/>
        <v>18.23042737</v>
      </c>
      <c r="H159" s="149">
        <f t="shared" si="3"/>
        <v>5305.318573</v>
      </c>
      <c r="I159" s="150">
        <f t="shared" si="6"/>
        <v>495.4856277</v>
      </c>
      <c r="J159" s="35"/>
      <c r="K159" s="141"/>
      <c r="L159" s="141">
        <v>56.0</v>
      </c>
      <c r="M159" s="128">
        <f t="shared" si="7"/>
        <v>26399.7725</v>
      </c>
      <c r="N159" s="148">
        <f t="shared" si="8"/>
        <v>96.86687147</v>
      </c>
      <c r="O159" s="155">
        <f t="shared" si="9"/>
        <v>4987.046494</v>
      </c>
      <c r="P159" s="156">
        <f t="shared" ref="P159:Q159" si="64">P158+$L$7</f>
        <v>27337.48284</v>
      </c>
      <c r="Q159" s="157">
        <f t="shared" si="64"/>
        <v>27337.48284</v>
      </c>
      <c r="R159" s="147"/>
    </row>
    <row r="160" ht="14.25" customHeight="1" outlineLevel="1">
      <c r="A160" s="35"/>
      <c r="B160" s="116"/>
      <c r="C160" s="116"/>
      <c r="D160" s="141"/>
      <c r="E160" s="141">
        <v>57.0</v>
      </c>
      <c r="F160" s="128">
        <f t="shared" si="5"/>
        <v>32356.95228</v>
      </c>
      <c r="G160" s="148">
        <f t="shared" si="2"/>
        <v>18.60524756</v>
      </c>
      <c r="H160" s="149">
        <f t="shared" si="3"/>
        <v>5414.396682</v>
      </c>
      <c r="I160" s="150">
        <f t="shared" si="6"/>
        <v>514.0908753</v>
      </c>
      <c r="J160" s="35"/>
      <c r="K160" s="141"/>
      <c r="L160" s="141">
        <v>57.0</v>
      </c>
      <c r="M160" s="128">
        <f t="shared" si="7"/>
        <v>26942.5556</v>
      </c>
      <c r="N160" s="148">
        <f t="shared" si="8"/>
        <v>97.17897175</v>
      </c>
      <c r="O160" s="162">
        <f t="shared" si="9"/>
        <v>5084.225466</v>
      </c>
      <c r="P160" s="156">
        <f t="shared" ref="P160:Q160" si="65">P159+$L$7</f>
        <v>27825.65217</v>
      </c>
      <c r="Q160" s="157">
        <f t="shared" si="65"/>
        <v>27825.65217</v>
      </c>
      <c r="R160" s="147"/>
    </row>
    <row r="161" ht="14.25" customHeight="1" outlineLevel="1">
      <c r="A161" s="35"/>
      <c r="B161" s="116"/>
      <c r="C161" s="116"/>
      <c r="D161" s="141"/>
      <c r="E161" s="141">
        <v>58.0</v>
      </c>
      <c r="F161" s="128">
        <f t="shared" si="5"/>
        <v>33012.12227</v>
      </c>
      <c r="G161" s="148">
        <f t="shared" si="2"/>
        <v>18.9819703</v>
      </c>
      <c r="H161" s="149">
        <f t="shared" si="3"/>
        <v>5524.028459</v>
      </c>
      <c r="I161" s="150">
        <f t="shared" si="6"/>
        <v>533.0728456</v>
      </c>
      <c r="J161" s="35"/>
      <c r="K161" s="141"/>
      <c r="L161" s="141">
        <v>58.0</v>
      </c>
      <c r="M161" s="128">
        <f t="shared" si="7"/>
        <v>27488.09381</v>
      </c>
      <c r="N161" s="148">
        <f t="shared" si="8"/>
        <v>97.49265622</v>
      </c>
      <c r="O161" s="162">
        <f t="shared" si="9"/>
        <v>5181.718122</v>
      </c>
      <c r="P161" s="156">
        <f t="shared" ref="P161:Q161" si="66">P160+$L$7</f>
        <v>28313.82151</v>
      </c>
      <c r="Q161" s="157">
        <f t="shared" si="66"/>
        <v>28313.82151</v>
      </c>
      <c r="R161" s="147"/>
    </row>
    <row r="162" ht="14.25" customHeight="1" outlineLevel="1">
      <c r="A162" s="35"/>
      <c r="B162" s="116"/>
      <c r="C162" s="116"/>
      <c r="D162" s="141"/>
      <c r="E162" s="141">
        <v>59.0</v>
      </c>
      <c r="F162" s="128">
        <f t="shared" si="5"/>
        <v>33670.61783</v>
      </c>
      <c r="G162" s="148">
        <f t="shared" si="2"/>
        <v>19.36060525</v>
      </c>
      <c r="H162" s="149">
        <f t="shared" si="3"/>
        <v>5634.216716</v>
      </c>
      <c r="I162" s="150">
        <f t="shared" si="6"/>
        <v>552.4334508</v>
      </c>
      <c r="J162" s="35"/>
      <c r="K162" s="141"/>
      <c r="L162" s="141">
        <v>59.0</v>
      </c>
      <c r="M162" s="128">
        <f t="shared" si="7"/>
        <v>28036.40111</v>
      </c>
      <c r="N162" s="148">
        <f t="shared" si="8"/>
        <v>97.80793292</v>
      </c>
      <c r="O162" s="162">
        <f t="shared" si="9"/>
        <v>5279.526055</v>
      </c>
      <c r="P162" s="156">
        <f t="shared" ref="P162:Q162" si="67">P161+$L$7</f>
        <v>28801.99084</v>
      </c>
      <c r="Q162" s="157">
        <f t="shared" si="67"/>
        <v>28801.99084</v>
      </c>
      <c r="R162" s="147"/>
    </row>
    <row r="163" ht="14.25" customHeight="1" outlineLevel="1">
      <c r="A163" s="35"/>
      <c r="B163" s="116"/>
      <c r="C163" s="116"/>
      <c r="D163" s="141">
        <v>5.0</v>
      </c>
      <c r="E163" s="141">
        <v>60.0</v>
      </c>
      <c r="F163" s="128">
        <f t="shared" si="5"/>
        <v>34332.45584</v>
      </c>
      <c r="G163" s="148">
        <f t="shared" si="2"/>
        <v>19.74116211</v>
      </c>
      <c r="H163" s="149">
        <f t="shared" si="3"/>
        <v>5744.964277</v>
      </c>
      <c r="I163" s="150">
        <f t="shared" si="6"/>
        <v>572.1746129</v>
      </c>
      <c r="J163" s="35"/>
      <c r="K163" s="141">
        <v>5.0</v>
      </c>
      <c r="L163" s="141">
        <v>60.0</v>
      </c>
      <c r="M163" s="128">
        <f t="shared" si="7"/>
        <v>28587.49156</v>
      </c>
      <c r="N163" s="148">
        <f t="shared" si="8"/>
        <v>26.20119437</v>
      </c>
      <c r="O163" s="162">
        <f t="shared" si="9"/>
        <v>5305.727249</v>
      </c>
      <c r="P163" s="156">
        <f t="shared" ref="P163:Q163" si="68">P162+$L$7</f>
        <v>29290.16018</v>
      </c>
      <c r="Q163" s="157">
        <f t="shared" si="68"/>
        <v>29290.16018</v>
      </c>
      <c r="R163" s="147"/>
    </row>
    <row r="164" ht="14.25" customHeight="1" outlineLevel="1">
      <c r="A164" s="35"/>
      <c r="B164" s="116"/>
      <c r="C164" s="116"/>
      <c r="D164" s="141"/>
      <c r="E164" s="141">
        <v>61.0</v>
      </c>
      <c r="F164" s="128">
        <f t="shared" si="5"/>
        <v>34997.65327</v>
      </c>
      <c r="G164" s="148">
        <f t="shared" si="2"/>
        <v>20.12365063</v>
      </c>
      <c r="H164" s="149">
        <f t="shared" si="3"/>
        <v>5783.943698</v>
      </c>
      <c r="I164" s="150">
        <f t="shared" si="6"/>
        <v>592.2982635</v>
      </c>
      <c r="J164" s="35"/>
      <c r="K164" s="141"/>
      <c r="L164" s="141">
        <v>61.0</v>
      </c>
      <c r="M164" s="128">
        <f t="shared" si="7"/>
        <v>29213.70957</v>
      </c>
      <c r="N164" s="148">
        <f t="shared" si="8"/>
        <v>26.56126973</v>
      </c>
      <c r="O164" s="162">
        <f t="shared" si="9"/>
        <v>5332.288519</v>
      </c>
      <c r="P164" s="156">
        <f t="shared" ref="P164:Q164" si="69">P163+$L$7</f>
        <v>29778.32952</v>
      </c>
      <c r="Q164" s="157">
        <f t="shared" si="69"/>
        <v>29778.32952</v>
      </c>
      <c r="R164" s="147"/>
    </row>
    <row r="165" ht="14.25" customHeight="1" outlineLevel="1">
      <c r="A165" s="35"/>
      <c r="B165" s="116"/>
      <c r="C165" s="116"/>
      <c r="D165" s="141"/>
      <c r="E165" s="141">
        <v>62.0</v>
      </c>
      <c r="F165" s="128">
        <f t="shared" si="5"/>
        <v>35666.22717</v>
      </c>
      <c r="G165" s="148">
        <f t="shared" si="2"/>
        <v>20.50808062</v>
      </c>
      <c r="H165" s="149">
        <f t="shared" si="3"/>
        <v>5823.120975</v>
      </c>
      <c r="I165" s="150">
        <f t="shared" si="6"/>
        <v>612.8063442</v>
      </c>
      <c r="J165" s="35"/>
      <c r="K165" s="141"/>
      <c r="L165" s="141">
        <v>62.0</v>
      </c>
      <c r="M165" s="128">
        <f t="shared" si="7"/>
        <v>29843.1062</v>
      </c>
      <c r="N165" s="148">
        <f t="shared" si="8"/>
        <v>26.92317279</v>
      </c>
      <c r="O165" s="162">
        <f t="shared" si="9"/>
        <v>5359.211692</v>
      </c>
      <c r="P165" s="156">
        <f t="shared" ref="P165:Q165" si="70">P164+$L$7</f>
        <v>30266.49885</v>
      </c>
      <c r="Q165" s="157">
        <f t="shared" si="70"/>
        <v>30266.49885</v>
      </c>
      <c r="R165" s="147"/>
    </row>
    <row r="166" ht="14.25" customHeight="1" outlineLevel="1">
      <c r="A166" s="35"/>
      <c r="B166" s="116"/>
      <c r="C166" s="116"/>
      <c r="D166" s="141"/>
      <c r="E166" s="141">
        <v>63.0</v>
      </c>
      <c r="F166" s="128">
        <f t="shared" si="5"/>
        <v>36338.19469</v>
      </c>
      <c r="G166" s="148">
        <f t="shared" si="2"/>
        <v>20.89446195</v>
      </c>
      <c r="H166" s="149">
        <f t="shared" si="3"/>
        <v>5862.497112</v>
      </c>
      <c r="I166" s="150">
        <f t="shared" si="6"/>
        <v>633.7008061</v>
      </c>
      <c r="J166" s="35"/>
      <c r="K166" s="141"/>
      <c r="L166" s="141">
        <v>63.0</v>
      </c>
      <c r="M166" s="128">
        <f t="shared" si="7"/>
        <v>30475.69758</v>
      </c>
      <c r="N166" s="148">
        <f t="shared" si="8"/>
        <v>27.28691283</v>
      </c>
      <c r="O166" s="162">
        <f t="shared" si="9"/>
        <v>5386.498604</v>
      </c>
      <c r="P166" s="156">
        <f t="shared" ref="P166:Q166" si="71">P165+$L$7</f>
        <v>30754.66819</v>
      </c>
      <c r="Q166" s="157">
        <f t="shared" si="71"/>
        <v>30754.66819</v>
      </c>
      <c r="R166" s="147"/>
    </row>
    <row r="167" ht="14.25" customHeight="1" outlineLevel="1">
      <c r="A167" s="35"/>
      <c r="B167" s="116"/>
      <c r="C167" s="116"/>
      <c r="D167" s="141"/>
      <c r="E167" s="141">
        <v>64.0</v>
      </c>
      <c r="F167" s="128">
        <f t="shared" si="5"/>
        <v>37013.57304</v>
      </c>
      <c r="G167" s="148">
        <f t="shared" si="2"/>
        <v>21.2828045</v>
      </c>
      <c r="H167" s="149">
        <f t="shared" si="3"/>
        <v>5902.073118</v>
      </c>
      <c r="I167" s="150">
        <f t="shared" si="6"/>
        <v>654.9836106</v>
      </c>
      <c r="J167" s="35"/>
      <c r="K167" s="141"/>
      <c r="L167" s="141">
        <v>64.0</v>
      </c>
      <c r="M167" s="128">
        <f t="shared" si="7"/>
        <v>31111.49992</v>
      </c>
      <c r="N167" s="148">
        <f t="shared" si="8"/>
        <v>27.65249918</v>
      </c>
      <c r="O167" s="162">
        <f t="shared" si="9"/>
        <v>5414.151104</v>
      </c>
      <c r="P167" s="156">
        <f t="shared" ref="P167:Q167" si="72">P166+$L$7</f>
        <v>31242.83753</v>
      </c>
      <c r="Q167" s="157">
        <f t="shared" si="72"/>
        <v>31242.83753</v>
      </c>
      <c r="R167" s="147"/>
    </row>
    <row r="168" ht="14.25" customHeight="1" outlineLevel="1">
      <c r="A168" s="35"/>
      <c r="B168" s="116"/>
      <c r="C168" s="116"/>
      <c r="D168" s="141"/>
      <c r="E168" s="141">
        <v>65.0</v>
      </c>
      <c r="F168" s="128">
        <f t="shared" si="5"/>
        <v>37692.37954</v>
      </c>
      <c r="G168" s="148">
        <f t="shared" si="2"/>
        <v>21.67311823</v>
      </c>
      <c r="H168" s="149">
        <f t="shared" si="3"/>
        <v>5941.850007</v>
      </c>
      <c r="I168" s="150">
        <f t="shared" si="6"/>
        <v>676.6567288</v>
      </c>
      <c r="J168" s="35"/>
      <c r="K168" s="141"/>
      <c r="L168" s="141">
        <v>65.0</v>
      </c>
      <c r="M168" s="128">
        <f t="shared" si="7"/>
        <v>31750.52953</v>
      </c>
      <c r="N168" s="148">
        <f t="shared" si="8"/>
        <v>28.01994121</v>
      </c>
      <c r="O168" s="155">
        <f t="shared" si="9"/>
        <v>5442.171045</v>
      </c>
      <c r="P168" s="156">
        <f t="shared" ref="P168:Q168" si="73">P167+$L$7</f>
        <v>31731.00686</v>
      </c>
      <c r="Q168" s="157">
        <f t="shared" si="73"/>
        <v>31731.00686</v>
      </c>
      <c r="R168" s="147"/>
    </row>
    <row r="169" ht="14.25" customHeight="1" outlineLevel="1">
      <c r="A169" s="35"/>
      <c r="B169" s="116"/>
      <c r="C169" s="116"/>
      <c r="D169" s="141"/>
      <c r="E169" s="141">
        <v>66.0</v>
      </c>
      <c r="F169" s="128">
        <f t="shared" si="5"/>
        <v>38374.63159</v>
      </c>
      <c r="G169" s="148">
        <f t="shared" si="2"/>
        <v>22.06541316</v>
      </c>
      <c r="H169" s="149">
        <f t="shared" si="3"/>
        <v>5981.8288</v>
      </c>
      <c r="I169" s="150">
        <f t="shared" si="6"/>
        <v>698.722142</v>
      </c>
      <c r="J169" s="35"/>
      <c r="K169" s="141"/>
      <c r="L169" s="141">
        <v>66.0</v>
      </c>
      <c r="M169" s="128">
        <f t="shared" si="7"/>
        <v>32392.80279</v>
      </c>
      <c r="N169" s="148">
        <f t="shared" si="8"/>
        <v>28.38924833</v>
      </c>
      <c r="O169" s="155">
        <f t="shared" si="9"/>
        <v>5470.560293</v>
      </c>
      <c r="P169" s="156">
        <f t="shared" ref="P169:Q169" si="74">P168+$L$7</f>
        <v>32219.1762</v>
      </c>
      <c r="Q169" s="157">
        <f t="shared" si="74"/>
        <v>32219.1762</v>
      </c>
      <c r="R169" s="147"/>
    </row>
    <row r="170" ht="14.25" customHeight="1" outlineLevel="1">
      <c r="A170" s="35"/>
      <c r="B170" s="116"/>
      <c r="C170" s="116"/>
      <c r="D170" s="141"/>
      <c r="E170" s="141">
        <v>67.0</v>
      </c>
      <c r="F170" s="128">
        <f t="shared" si="5"/>
        <v>39060.34668</v>
      </c>
      <c r="G170" s="148">
        <f t="shared" si="2"/>
        <v>22.45969934</v>
      </c>
      <c r="H170" s="149">
        <f t="shared" si="3"/>
        <v>6022.01052</v>
      </c>
      <c r="I170" s="150">
        <f t="shared" si="6"/>
        <v>721.1818413</v>
      </c>
      <c r="J170" s="35"/>
      <c r="K170" s="141"/>
      <c r="L170" s="141">
        <v>67.0</v>
      </c>
      <c r="M170" s="128">
        <f t="shared" si="7"/>
        <v>33038.33616</v>
      </c>
      <c r="N170" s="148">
        <f t="shared" si="8"/>
        <v>28.76043002</v>
      </c>
      <c r="O170" s="155">
        <f t="shared" si="9"/>
        <v>5499.320723</v>
      </c>
      <c r="P170" s="156">
        <f t="shared" ref="P170:Q170" si="75">P169+$L$7</f>
        <v>32707.34554</v>
      </c>
      <c r="Q170" s="157">
        <f t="shared" si="75"/>
        <v>32707.34554</v>
      </c>
      <c r="R170" s="147"/>
    </row>
    <row r="171" ht="14.25" customHeight="1" outlineLevel="1">
      <c r="A171" s="35"/>
      <c r="B171" s="116"/>
      <c r="C171" s="116"/>
      <c r="D171" s="141"/>
      <c r="E171" s="141">
        <v>68.0</v>
      </c>
      <c r="F171" s="128">
        <f t="shared" si="5"/>
        <v>39749.54238</v>
      </c>
      <c r="G171" s="148">
        <f t="shared" si="2"/>
        <v>22.85598687</v>
      </c>
      <c r="H171" s="149">
        <f t="shared" si="3"/>
        <v>6062.396199</v>
      </c>
      <c r="I171" s="150">
        <f t="shared" si="6"/>
        <v>744.0378282</v>
      </c>
      <c r="J171" s="35"/>
      <c r="K171" s="141"/>
      <c r="L171" s="141">
        <v>68.0</v>
      </c>
      <c r="M171" s="128">
        <f t="shared" si="7"/>
        <v>33687.14618</v>
      </c>
      <c r="N171" s="148">
        <f t="shared" si="8"/>
        <v>29.13349578</v>
      </c>
      <c r="O171" s="155">
        <f t="shared" si="9"/>
        <v>5528.454219</v>
      </c>
      <c r="P171" s="156">
        <f t="shared" ref="P171:Q171" si="76">P170+$L$7</f>
        <v>33195.51487</v>
      </c>
      <c r="Q171" s="157">
        <f t="shared" si="76"/>
        <v>33195.51487</v>
      </c>
      <c r="R171" s="147"/>
    </row>
    <row r="172" ht="14.25" customHeight="1" outlineLevel="1">
      <c r="A172" s="35"/>
      <c r="B172" s="116"/>
      <c r="C172" s="116"/>
      <c r="D172" s="141"/>
      <c r="E172" s="141">
        <v>69.0</v>
      </c>
      <c r="F172" s="128">
        <f t="shared" si="5"/>
        <v>40442.23637</v>
      </c>
      <c r="G172" s="148">
        <f t="shared" si="2"/>
        <v>23.25428591</v>
      </c>
      <c r="H172" s="149">
        <f t="shared" si="3"/>
        <v>6102.986872</v>
      </c>
      <c r="I172" s="150">
        <f t="shared" si="6"/>
        <v>767.2921141</v>
      </c>
      <c r="J172" s="35"/>
      <c r="K172" s="141"/>
      <c r="L172" s="141">
        <v>69.0</v>
      </c>
      <c r="M172" s="128">
        <f t="shared" si="7"/>
        <v>34339.2495</v>
      </c>
      <c r="N172" s="148">
        <f t="shared" si="8"/>
        <v>29.50845519</v>
      </c>
      <c r="O172" s="155">
        <f t="shared" si="9"/>
        <v>5557.962674</v>
      </c>
      <c r="P172" s="156">
        <f t="shared" ref="P172:Q172" si="77">P171+$L$7</f>
        <v>33683.68421</v>
      </c>
      <c r="Q172" s="157">
        <f t="shared" si="77"/>
        <v>33683.68421</v>
      </c>
      <c r="R172" s="147"/>
    </row>
    <row r="173" ht="14.25" customHeight="1" outlineLevel="1">
      <c r="A173" s="35"/>
      <c r="B173" s="116"/>
      <c r="C173" s="116"/>
      <c r="D173" s="141"/>
      <c r="E173" s="141">
        <v>70.0</v>
      </c>
      <c r="F173" s="128">
        <f t="shared" si="5"/>
        <v>41138.4464</v>
      </c>
      <c r="G173" s="148">
        <f t="shared" si="2"/>
        <v>23.65460668</v>
      </c>
      <c r="H173" s="149">
        <f t="shared" si="3"/>
        <v>6143.783578</v>
      </c>
      <c r="I173" s="150">
        <f t="shared" si="6"/>
        <v>790.9467208</v>
      </c>
      <c r="J173" s="35"/>
      <c r="K173" s="141"/>
      <c r="L173" s="141">
        <v>70.0</v>
      </c>
      <c r="M173" s="128">
        <f t="shared" si="7"/>
        <v>34994.66283</v>
      </c>
      <c r="N173" s="148">
        <f t="shared" si="8"/>
        <v>29.88531785</v>
      </c>
      <c r="O173" s="155">
        <f t="shared" si="9"/>
        <v>5587.847992</v>
      </c>
      <c r="P173" s="156">
        <f t="shared" ref="P173:Q173" si="78">P172+$L$7</f>
        <v>34171.85354</v>
      </c>
      <c r="Q173" s="157">
        <f t="shared" si="78"/>
        <v>34171.85354</v>
      </c>
      <c r="R173" s="147"/>
    </row>
    <row r="174" ht="14.25" customHeight="1" outlineLevel="1">
      <c r="A174" s="35"/>
      <c r="B174" s="116"/>
      <c r="C174" s="116"/>
      <c r="D174" s="141"/>
      <c r="E174" s="141">
        <v>71.0</v>
      </c>
      <c r="F174" s="128">
        <f t="shared" si="5"/>
        <v>41838.19032</v>
      </c>
      <c r="G174" s="148">
        <f t="shared" si="2"/>
        <v>24.05695944</v>
      </c>
      <c r="H174" s="149">
        <f t="shared" si="3"/>
        <v>6184.787364</v>
      </c>
      <c r="I174" s="150">
        <f t="shared" si="6"/>
        <v>815.0036802</v>
      </c>
      <c r="J174" s="35"/>
      <c r="K174" s="141"/>
      <c r="L174" s="141">
        <v>71.0</v>
      </c>
      <c r="M174" s="128">
        <f t="shared" si="7"/>
        <v>35653.40296</v>
      </c>
      <c r="N174" s="148">
        <f t="shared" si="8"/>
        <v>30.26409343</v>
      </c>
      <c r="O174" s="155">
        <f t="shared" si="9"/>
        <v>5618.112085</v>
      </c>
      <c r="P174" s="156">
        <f t="shared" ref="P174:Q174" si="79">P173+$L$7</f>
        <v>34660.02288</v>
      </c>
      <c r="Q174" s="157">
        <f t="shared" si="79"/>
        <v>34660.02288</v>
      </c>
      <c r="R174" s="147"/>
    </row>
    <row r="175" ht="14.25" customHeight="1" outlineLevel="1">
      <c r="A175" s="35"/>
      <c r="B175" s="116"/>
      <c r="C175" s="116"/>
      <c r="D175" s="141">
        <v>6.0</v>
      </c>
      <c r="E175" s="141">
        <v>72.0</v>
      </c>
      <c r="F175" s="128">
        <f t="shared" si="5"/>
        <v>42541.48607</v>
      </c>
      <c r="G175" s="148">
        <f t="shared" si="2"/>
        <v>24.46135449</v>
      </c>
      <c r="H175" s="149">
        <f t="shared" si="3"/>
        <v>6225.999281</v>
      </c>
      <c r="I175" s="150">
        <f t="shared" si="6"/>
        <v>839.4650347</v>
      </c>
      <c r="J175" s="35"/>
      <c r="K175" s="141">
        <v>6.0</v>
      </c>
      <c r="L175" s="141">
        <v>72.0</v>
      </c>
      <c r="M175" s="128">
        <f t="shared" si="7"/>
        <v>36315.48679</v>
      </c>
      <c r="N175" s="148">
        <f t="shared" si="8"/>
        <v>30.64479163</v>
      </c>
      <c r="O175" s="155">
        <f t="shared" si="9"/>
        <v>5648.756877</v>
      </c>
      <c r="P175" s="156">
        <f t="shared" ref="P175:Q175" si="80">P174+$L$7</f>
        <v>35148.19222</v>
      </c>
      <c r="Q175" s="157">
        <f t="shared" si="80"/>
        <v>35148.19222</v>
      </c>
      <c r="R175" s="147"/>
    </row>
    <row r="176" ht="14.25" customHeight="1" outlineLevel="1">
      <c r="A176" s="35"/>
      <c r="B176" s="116"/>
      <c r="C176" s="116"/>
      <c r="D176" s="141"/>
      <c r="E176" s="141">
        <v>73.0</v>
      </c>
      <c r="F176" s="128">
        <f t="shared" si="5"/>
        <v>43248.35167</v>
      </c>
      <c r="G176" s="148">
        <f t="shared" si="2"/>
        <v>24.86780221</v>
      </c>
      <c r="H176" s="149">
        <f t="shared" si="3"/>
        <v>6267.420385</v>
      </c>
      <c r="I176" s="150">
        <f t="shared" si="6"/>
        <v>864.332837</v>
      </c>
      <c r="J176" s="35"/>
      <c r="K176" s="141"/>
      <c r="L176" s="141">
        <v>73.0</v>
      </c>
      <c r="M176" s="128">
        <f t="shared" si="7"/>
        <v>36980.93129</v>
      </c>
      <c r="N176" s="148">
        <f t="shared" si="8"/>
        <v>31.02742222</v>
      </c>
      <c r="O176" s="155">
        <f t="shared" si="9"/>
        <v>5679.784299</v>
      </c>
      <c r="P176" s="156">
        <f t="shared" ref="P176:Q176" si="81">P175+$L$7</f>
        <v>35636.36155</v>
      </c>
      <c r="Q176" s="157">
        <f t="shared" si="81"/>
        <v>35636.36155</v>
      </c>
      <c r="R176" s="147"/>
    </row>
    <row r="177" ht="14.25" customHeight="1" outlineLevel="1">
      <c r="A177" s="35"/>
      <c r="B177" s="116"/>
      <c r="C177" s="116"/>
      <c r="D177" s="141"/>
      <c r="E177" s="141">
        <v>74.0</v>
      </c>
      <c r="F177" s="128">
        <f t="shared" si="5"/>
        <v>43958.80525</v>
      </c>
      <c r="G177" s="148">
        <f t="shared" si="2"/>
        <v>25.27631302</v>
      </c>
      <c r="H177" s="149">
        <f t="shared" si="3"/>
        <v>6309.051739</v>
      </c>
      <c r="I177" s="150">
        <f t="shared" si="6"/>
        <v>889.60915</v>
      </c>
      <c r="J177" s="35"/>
      <c r="K177" s="141"/>
      <c r="L177" s="141">
        <v>74.0</v>
      </c>
      <c r="M177" s="128">
        <f t="shared" si="7"/>
        <v>37649.75351</v>
      </c>
      <c r="N177" s="148">
        <f t="shared" si="8"/>
        <v>31.411995</v>
      </c>
      <c r="O177" s="155">
        <f t="shared" si="9"/>
        <v>5711.196294</v>
      </c>
      <c r="P177" s="156">
        <f t="shared" ref="P177:Q177" si="82">P176+$L$7</f>
        <v>36124.53089</v>
      </c>
      <c r="Q177" s="157">
        <f t="shared" si="82"/>
        <v>36124.53089</v>
      </c>
      <c r="R177" s="147"/>
    </row>
    <row r="178" ht="14.25" customHeight="1" outlineLevel="1">
      <c r="A178" s="35"/>
      <c r="B178" s="116"/>
      <c r="C178" s="116"/>
      <c r="D178" s="141"/>
      <c r="E178" s="141">
        <v>75.0</v>
      </c>
      <c r="F178" s="128">
        <f t="shared" si="5"/>
        <v>44672.86501</v>
      </c>
      <c r="G178" s="148">
        <f t="shared" si="2"/>
        <v>25.68689738</v>
      </c>
      <c r="H178" s="149">
        <f t="shared" si="3"/>
        <v>6350.894409</v>
      </c>
      <c r="I178" s="150">
        <f t="shared" si="6"/>
        <v>915.2960474</v>
      </c>
      <c r="J178" s="35"/>
      <c r="K178" s="141"/>
      <c r="L178" s="141">
        <v>75.0</v>
      </c>
      <c r="M178" s="128">
        <f t="shared" si="7"/>
        <v>38321.9706</v>
      </c>
      <c r="N178" s="148">
        <f t="shared" si="8"/>
        <v>31.79851982</v>
      </c>
      <c r="O178" s="155">
        <f t="shared" si="9"/>
        <v>5742.994814</v>
      </c>
      <c r="P178" s="156">
        <f t="shared" ref="P178:Q178" si="83">P177+$L$7</f>
        <v>36612.70023</v>
      </c>
      <c r="Q178" s="157">
        <f t="shared" si="83"/>
        <v>36612.70023</v>
      </c>
      <c r="R178" s="147"/>
    </row>
    <row r="179" ht="14.25" customHeight="1" outlineLevel="1">
      <c r="A179" s="35"/>
      <c r="B179" s="116"/>
      <c r="C179" s="116"/>
      <c r="D179" s="141"/>
      <c r="E179" s="141">
        <v>76.0</v>
      </c>
      <c r="F179" s="128">
        <f t="shared" si="5"/>
        <v>45390.54927</v>
      </c>
      <c r="G179" s="148">
        <f t="shared" si="2"/>
        <v>26.09956583</v>
      </c>
      <c r="H179" s="149">
        <f t="shared" si="3"/>
        <v>6392.949467</v>
      </c>
      <c r="I179" s="150">
        <f t="shared" si="6"/>
        <v>941.3956132</v>
      </c>
      <c r="J179" s="35"/>
      <c r="K179" s="141"/>
      <c r="L179" s="141">
        <v>76.0</v>
      </c>
      <c r="M179" s="128">
        <f t="shared" si="7"/>
        <v>38997.5998</v>
      </c>
      <c r="N179" s="148">
        <f t="shared" si="8"/>
        <v>32.18700661</v>
      </c>
      <c r="O179" s="155">
        <f t="shared" si="9"/>
        <v>5775.181821</v>
      </c>
      <c r="P179" s="156">
        <f t="shared" ref="P179:Q179" si="84">P178+$L$7</f>
        <v>37100.86956</v>
      </c>
      <c r="Q179" s="157">
        <f t="shared" si="84"/>
        <v>37100.86956</v>
      </c>
      <c r="R179" s="147"/>
    </row>
    <row r="180" ht="14.25" customHeight="1" outlineLevel="1">
      <c r="A180" s="35"/>
      <c r="B180" s="116"/>
      <c r="C180" s="116"/>
      <c r="D180" s="141"/>
      <c r="E180" s="141">
        <v>77.0</v>
      </c>
      <c r="F180" s="128">
        <f t="shared" si="5"/>
        <v>46111.87641</v>
      </c>
      <c r="G180" s="148">
        <f t="shared" si="2"/>
        <v>26.51432894</v>
      </c>
      <c r="H180" s="149">
        <f t="shared" si="3"/>
        <v>6435.217993</v>
      </c>
      <c r="I180" s="150">
        <f t="shared" si="6"/>
        <v>967.9099421</v>
      </c>
      <c r="J180" s="35"/>
      <c r="K180" s="141"/>
      <c r="L180" s="141">
        <v>77.0</v>
      </c>
      <c r="M180" s="128">
        <f t="shared" si="7"/>
        <v>39676.65842</v>
      </c>
      <c r="N180" s="148">
        <f t="shared" si="8"/>
        <v>32.57746532</v>
      </c>
      <c r="O180" s="155">
        <f t="shared" si="9"/>
        <v>5807.759286</v>
      </c>
      <c r="P180" s="156">
        <f t="shared" ref="P180:Q180" si="85">P179+$L$7</f>
        <v>37589.0389</v>
      </c>
      <c r="Q180" s="157">
        <f t="shared" si="85"/>
        <v>37589.0389</v>
      </c>
      <c r="R180" s="147"/>
    </row>
    <row r="181" ht="14.25" customHeight="1" outlineLevel="1">
      <c r="A181" s="35"/>
      <c r="B181" s="116"/>
      <c r="C181" s="116"/>
      <c r="D181" s="141"/>
      <c r="E181" s="141">
        <v>78.0</v>
      </c>
      <c r="F181" s="128">
        <f t="shared" si="5"/>
        <v>46836.86494</v>
      </c>
      <c r="G181" s="148">
        <f t="shared" si="2"/>
        <v>26.93119734</v>
      </c>
      <c r="H181" s="149">
        <f t="shared" si="3"/>
        <v>6477.70107</v>
      </c>
      <c r="I181" s="150">
        <f t="shared" si="6"/>
        <v>994.8411395</v>
      </c>
      <c r="J181" s="35"/>
      <c r="K181" s="141"/>
      <c r="L181" s="141">
        <v>78.0</v>
      </c>
      <c r="M181" s="128">
        <f t="shared" si="7"/>
        <v>40359.16387</v>
      </c>
      <c r="N181" s="148">
        <f t="shared" si="8"/>
        <v>32.96990595</v>
      </c>
      <c r="O181" s="155">
        <f t="shared" si="9"/>
        <v>5840.729192</v>
      </c>
      <c r="P181" s="156">
        <f t="shared" ref="P181:Q181" si="86">P180+$L$7</f>
        <v>38077.20824</v>
      </c>
      <c r="Q181" s="157">
        <f t="shared" si="86"/>
        <v>38077.20824</v>
      </c>
      <c r="R181" s="147"/>
    </row>
    <row r="182" ht="14.25" customHeight="1" outlineLevel="1">
      <c r="A182" s="35"/>
      <c r="B182" s="116"/>
      <c r="C182" s="116"/>
      <c r="D182" s="141"/>
      <c r="E182" s="141">
        <v>79.0</v>
      </c>
      <c r="F182" s="128">
        <f t="shared" si="5"/>
        <v>47565.53343</v>
      </c>
      <c r="G182" s="148">
        <f t="shared" si="2"/>
        <v>27.35018172</v>
      </c>
      <c r="H182" s="149">
        <f t="shared" si="3"/>
        <v>6520.399786</v>
      </c>
      <c r="I182" s="150">
        <f t="shared" si="6"/>
        <v>1022.191321</v>
      </c>
      <c r="J182" s="35"/>
      <c r="K182" s="141"/>
      <c r="L182" s="141">
        <v>79.0</v>
      </c>
      <c r="M182" s="128">
        <f t="shared" si="7"/>
        <v>41045.13364</v>
      </c>
      <c r="N182" s="148">
        <f t="shared" si="8"/>
        <v>33.36433857</v>
      </c>
      <c r="O182" s="155">
        <f t="shared" si="9"/>
        <v>5874.093531</v>
      </c>
      <c r="P182" s="156">
        <f t="shared" ref="P182:Q182" si="87">P181+$L$7</f>
        <v>38565.37757</v>
      </c>
      <c r="Q182" s="157">
        <f t="shared" si="87"/>
        <v>38565.37757</v>
      </c>
      <c r="R182" s="147"/>
    </row>
    <row r="183" ht="14.25" customHeight="1" outlineLevel="1">
      <c r="A183" s="35"/>
      <c r="B183" s="116"/>
      <c r="C183" s="116"/>
      <c r="D183" s="141"/>
      <c r="E183" s="141">
        <v>80.0</v>
      </c>
      <c r="F183" s="128">
        <f t="shared" si="5"/>
        <v>48297.90056</v>
      </c>
      <c r="G183" s="148">
        <f t="shared" si="2"/>
        <v>27.77129282</v>
      </c>
      <c r="H183" s="149">
        <f t="shared" si="3"/>
        <v>6563.315236</v>
      </c>
      <c r="I183" s="150">
        <f t="shared" si="6"/>
        <v>1049.962614</v>
      </c>
      <c r="J183" s="35"/>
      <c r="K183" s="141"/>
      <c r="L183" s="141">
        <v>80.0</v>
      </c>
      <c r="M183" s="128">
        <f t="shared" si="7"/>
        <v>41734.58533</v>
      </c>
      <c r="N183" s="148">
        <f t="shared" si="8"/>
        <v>33.76077329</v>
      </c>
      <c r="O183" s="155">
        <f t="shared" si="9"/>
        <v>5907.854304</v>
      </c>
      <c r="P183" s="156">
        <f t="shared" ref="P183:Q183" si="88">P182+$L$7</f>
        <v>39053.54691</v>
      </c>
      <c r="Q183" s="157">
        <f t="shared" si="88"/>
        <v>39053.54691</v>
      </c>
      <c r="R183" s="147"/>
    </row>
    <row r="184" ht="14.25" customHeight="1" outlineLevel="1">
      <c r="A184" s="35"/>
      <c r="B184" s="116"/>
      <c r="C184" s="116"/>
      <c r="D184" s="141"/>
      <c r="E184" s="141">
        <v>81.0</v>
      </c>
      <c r="F184" s="128">
        <f t="shared" si="5"/>
        <v>49033.98512</v>
      </c>
      <c r="G184" s="148">
        <f t="shared" si="2"/>
        <v>28.19454144</v>
      </c>
      <c r="H184" s="149">
        <f t="shared" si="3"/>
        <v>6606.44852</v>
      </c>
      <c r="I184" s="150">
        <f t="shared" si="6"/>
        <v>1078.157155</v>
      </c>
      <c r="J184" s="35"/>
      <c r="K184" s="141"/>
      <c r="L184" s="141">
        <v>81.0</v>
      </c>
      <c r="M184" s="128">
        <f t="shared" si="7"/>
        <v>42427.5366</v>
      </c>
      <c r="N184" s="148">
        <f t="shared" si="8"/>
        <v>34.15922027</v>
      </c>
      <c r="O184" s="155">
        <f t="shared" si="9"/>
        <v>5942.013524</v>
      </c>
      <c r="P184" s="156">
        <f t="shared" ref="P184:Q184" si="89">P183+$L$7</f>
        <v>39541.71624</v>
      </c>
      <c r="Q184" s="157">
        <f t="shared" si="89"/>
        <v>39541.71624</v>
      </c>
      <c r="R184" s="147"/>
    </row>
    <row r="185" ht="14.25" customHeight="1" outlineLevel="1">
      <c r="A185" s="35"/>
      <c r="B185" s="116"/>
      <c r="C185" s="116"/>
      <c r="D185" s="141"/>
      <c r="E185" s="141">
        <v>82.0</v>
      </c>
      <c r="F185" s="128">
        <f t="shared" si="5"/>
        <v>49773.80596</v>
      </c>
      <c r="G185" s="148">
        <f t="shared" si="2"/>
        <v>28.61993843</v>
      </c>
      <c r="H185" s="149">
        <f t="shared" si="3"/>
        <v>6649.800745</v>
      </c>
      <c r="I185" s="150">
        <f t="shared" si="6"/>
        <v>1106.777094</v>
      </c>
      <c r="J185" s="35"/>
      <c r="K185" s="141"/>
      <c r="L185" s="141">
        <v>82.0</v>
      </c>
      <c r="M185" s="128">
        <f t="shared" si="7"/>
        <v>43124.00521</v>
      </c>
      <c r="N185" s="148">
        <f t="shared" si="8"/>
        <v>34.55968972</v>
      </c>
      <c r="O185" s="155">
        <f t="shared" si="9"/>
        <v>5976.573214</v>
      </c>
      <c r="P185" s="156">
        <f t="shared" ref="P185:Q185" si="90">P184+$L$7</f>
        <v>40029.88558</v>
      </c>
      <c r="Q185" s="157">
        <f t="shared" si="90"/>
        <v>40029.88558</v>
      </c>
      <c r="R185" s="147"/>
    </row>
    <row r="186" ht="14.25" customHeight="1" outlineLevel="1">
      <c r="A186" s="35"/>
      <c r="B186" s="116"/>
      <c r="C186" s="116"/>
      <c r="D186" s="141"/>
      <c r="E186" s="141">
        <v>83.0</v>
      </c>
      <c r="F186" s="128">
        <f t="shared" si="5"/>
        <v>50517.38205</v>
      </c>
      <c r="G186" s="148">
        <f t="shared" si="2"/>
        <v>29.04749468</v>
      </c>
      <c r="H186" s="149">
        <f t="shared" si="3"/>
        <v>6693.37302</v>
      </c>
      <c r="I186" s="150">
        <f t="shared" si="6"/>
        <v>1135.824589</v>
      </c>
      <c r="J186" s="35"/>
      <c r="K186" s="141"/>
      <c r="L186" s="141">
        <v>83.0</v>
      </c>
      <c r="M186" s="128">
        <f t="shared" si="7"/>
        <v>43824.00903</v>
      </c>
      <c r="N186" s="148">
        <f t="shared" si="8"/>
        <v>34.96219192</v>
      </c>
      <c r="O186" s="155">
        <f t="shared" si="9"/>
        <v>6011.535406</v>
      </c>
      <c r="P186" s="156">
        <f t="shared" ref="P186:Q186" si="91">P185+$L$7</f>
        <v>40518.05492</v>
      </c>
      <c r="Q186" s="157">
        <f t="shared" si="91"/>
        <v>40518.05492</v>
      </c>
      <c r="R186" s="147"/>
    </row>
    <row r="187" ht="14.25" customHeight="1" outlineLevel="1">
      <c r="A187" s="35"/>
      <c r="B187" s="116"/>
      <c r="C187" s="116"/>
      <c r="D187" s="141">
        <v>7.0</v>
      </c>
      <c r="E187" s="141">
        <v>84.0</v>
      </c>
      <c r="F187" s="128">
        <f t="shared" si="5"/>
        <v>51264.73246</v>
      </c>
      <c r="G187" s="148">
        <f t="shared" si="2"/>
        <v>29.47722116</v>
      </c>
      <c r="H187" s="149">
        <f t="shared" si="3"/>
        <v>6737.166464</v>
      </c>
      <c r="I187" s="150">
        <f t="shared" si="6"/>
        <v>1165.30181</v>
      </c>
      <c r="J187" s="35"/>
      <c r="K187" s="141">
        <v>7.0</v>
      </c>
      <c r="L187" s="141">
        <v>84.0</v>
      </c>
      <c r="M187" s="128">
        <f t="shared" si="7"/>
        <v>44527.56599</v>
      </c>
      <c r="N187" s="148">
        <f t="shared" si="8"/>
        <v>35.36673717</v>
      </c>
      <c r="O187" s="155">
        <f t="shared" si="9"/>
        <v>6046.902143</v>
      </c>
      <c r="P187" s="156">
        <f t="shared" ref="P187:Q187" si="92">P186+$L$7</f>
        <v>41006.22425</v>
      </c>
      <c r="Q187" s="157">
        <f t="shared" si="92"/>
        <v>41006.22425</v>
      </c>
      <c r="R187" s="147"/>
    </row>
    <row r="188" ht="14.25" customHeight="1" outlineLevel="1">
      <c r="A188" s="35"/>
      <c r="B188" s="116"/>
      <c r="C188" s="116"/>
      <c r="D188" s="141"/>
      <c r="E188" s="141">
        <v>85.0</v>
      </c>
      <c r="F188" s="128">
        <f t="shared" si="5"/>
        <v>52015.87633</v>
      </c>
      <c r="G188" s="148">
        <f t="shared" si="2"/>
        <v>29.90912889</v>
      </c>
      <c r="H188" s="149">
        <f t="shared" si="3"/>
        <v>6781.182199</v>
      </c>
      <c r="I188" s="150">
        <f t="shared" si="6"/>
        <v>1195.210939</v>
      </c>
      <c r="J188" s="35"/>
      <c r="K188" s="141"/>
      <c r="L188" s="141">
        <v>85.0</v>
      </c>
      <c r="M188" s="128">
        <f t="shared" si="7"/>
        <v>45234.69413</v>
      </c>
      <c r="N188" s="148">
        <f t="shared" si="8"/>
        <v>35.77333585</v>
      </c>
      <c r="O188" s="155">
        <f t="shared" si="9"/>
        <v>6082.675479</v>
      </c>
      <c r="P188" s="156">
        <f t="shared" ref="P188:Q188" si="93">P187+$L$7</f>
        <v>41494.39359</v>
      </c>
      <c r="Q188" s="157">
        <f t="shared" si="93"/>
        <v>41494.39359</v>
      </c>
      <c r="R188" s="147"/>
    </row>
    <row r="189" ht="14.25" customHeight="1" outlineLevel="1">
      <c r="A189" s="35"/>
      <c r="B189" s="116"/>
      <c r="C189" s="116"/>
      <c r="D189" s="141"/>
      <c r="E189" s="141">
        <v>86.0</v>
      </c>
      <c r="F189" s="128">
        <f t="shared" si="5"/>
        <v>52770.83294</v>
      </c>
      <c r="G189" s="148">
        <f t="shared" si="2"/>
        <v>30.34322894</v>
      </c>
      <c r="H189" s="149">
        <f t="shared" si="3"/>
        <v>6825.421353</v>
      </c>
      <c r="I189" s="150">
        <f t="shared" si="6"/>
        <v>1225.554168</v>
      </c>
      <c r="J189" s="35"/>
      <c r="K189" s="141"/>
      <c r="L189" s="141">
        <v>86.0</v>
      </c>
      <c r="M189" s="128">
        <f t="shared" si="7"/>
        <v>45945.41158</v>
      </c>
      <c r="N189" s="148">
        <f t="shared" si="8"/>
        <v>36.18199839</v>
      </c>
      <c r="O189" s="155">
        <f t="shared" si="9"/>
        <v>6118.857477</v>
      </c>
      <c r="P189" s="156">
        <f t="shared" ref="P189:Q189" si="94">P188+$L$7</f>
        <v>41982.56293</v>
      </c>
      <c r="Q189" s="157">
        <f t="shared" si="94"/>
        <v>41982.56293</v>
      </c>
      <c r="R189" s="147"/>
    </row>
    <row r="190" ht="14.25" customHeight="1" outlineLevel="1">
      <c r="A190" s="35"/>
      <c r="B190" s="116"/>
      <c r="C190" s="116"/>
      <c r="D190" s="141"/>
      <c r="E190" s="141">
        <v>87.0</v>
      </c>
      <c r="F190" s="128">
        <f t="shared" si="5"/>
        <v>53529.62162</v>
      </c>
      <c r="G190" s="148">
        <f t="shared" si="2"/>
        <v>30.77953243</v>
      </c>
      <c r="H190" s="149">
        <f t="shared" si="3"/>
        <v>6869.885061</v>
      </c>
      <c r="I190" s="150">
        <f t="shared" si="6"/>
        <v>1256.3337</v>
      </c>
      <c r="J190" s="35"/>
      <c r="K190" s="141"/>
      <c r="L190" s="141">
        <v>87.0</v>
      </c>
      <c r="M190" s="128">
        <f t="shared" si="7"/>
        <v>46659.73656</v>
      </c>
      <c r="N190" s="148">
        <f t="shared" si="8"/>
        <v>36.59273525</v>
      </c>
      <c r="O190" s="155">
        <f t="shared" si="9"/>
        <v>6155.450212</v>
      </c>
      <c r="P190" s="156">
        <f t="shared" ref="P190:Q190" si="95">P189+$L$7</f>
        <v>42470.73226</v>
      </c>
      <c r="Q190" s="157">
        <f t="shared" si="95"/>
        <v>42470.73226</v>
      </c>
      <c r="R190" s="147"/>
    </row>
    <row r="191" ht="14.25" customHeight="1" outlineLevel="1">
      <c r="A191" s="35"/>
      <c r="B191" s="116"/>
      <c r="C191" s="116"/>
      <c r="D191" s="141"/>
      <c r="E191" s="141">
        <v>88.0</v>
      </c>
      <c r="F191" s="128">
        <f t="shared" si="5"/>
        <v>54292.26184</v>
      </c>
      <c r="G191" s="148">
        <f t="shared" si="2"/>
        <v>31.21805056</v>
      </c>
      <c r="H191" s="149">
        <f t="shared" si="3"/>
        <v>6914.574461</v>
      </c>
      <c r="I191" s="150">
        <f t="shared" si="6"/>
        <v>1287.551751</v>
      </c>
      <c r="J191" s="35"/>
      <c r="K191" s="141"/>
      <c r="L191" s="141">
        <v>88.0</v>
      </c>
      <c r="M191" s="128">
        <f t="shared" si="7"/>
        <v>47377.68738</v>
      </c>
      <c r="N191" s="148">
        <f t="shared" si="8"/>
        <v>37.00555697</v>
      </c>
      <c r="O191" s="155">
        <f t="shared" si="9"/>
        <v>6192.455769</v>
      </c>
      <c r="P191" s="156">
        <f t="shared" ref="P191:Q191" si="96">P190+$L$7</f>
        <v>42958.9016</v>
      </c>
      <c r="Q191" s="157">
        <f t="shared" si="96"/>
        <v>42958.9016</v>
      </c>
      <c r="R191" s="147"/>
    </row>
    <row r="192" ht="14.25" customHeight="1" outlineLevel="1">
      <c r="A192" s="35"/>
      <c r="B192" s="116"/>
      <c r="C192" s="116"/>
      <c r="D192" s="141"/>
      <c r="E192" s="141">
        <v>89.0</v>
      </c>
      <c r="F192" s="128">
        <f t="shared" si="5"/>
        <v>55058.77313</v>
      </c>
      <c r="G192" s="148">
        <f t="shared" si="2"/>
        <v>31.65879455</v>
      </c>
      <c r="H192" s="149">
        <f t="shared" si="3"/>
        <v>6959.4907</v>
      </c>
      <c r="I192" s="150">
        <f t="shared" si="6"/>
        <v>1319.210545</v>
      </c>
      <c r="J192" s="35"/>
      <c r="K192" s="141"/>
      <c r="L192" s="141">
        <v>89.0</v>
      </c>
      <c r="M192" s="128">
        <f t="shared" si="7"/>
        <v>48099.28243</v>
      </c>
      <c r="N192" s="148">
        <f t="shared" si="8"/>
        <v>37.42047413</v>
      </c>
      <c r="O192" s="155">
        <f t="shared" si="9"/>
        <v>6229.876244</v>
      </c>
      <c r="P192" s="156">
        <f t="shared" ref="P192:Q192" si="97">P191+$L$7</f>
        <v>43447.07094</v>
      </c>
      <c r="Q192" s="157">
        <f t="shared" si="97"/>
        <v>43447.07094</v>
      </c>
      <c r="R192" s="147"/>
    </row>
    <row r="193" ht="14.25" customHeight="1" outlineLevel="1">
      <c r="A193" s="35"/>
      <c r="B193" s="116"/>
      <c r="C193" s="116"/>
      <c r="D193" s="141"/>
      <c r="E193" s="141">
        <v>90.0</v>
      </c>
      <c r="F193" s="128">
        <f t="shared" si="5"/>
        <v>55829.17516</v>
      </c>
      <c r="G193" s="148">
        <f t="shared" si="2"/>
        <v>32.10177572</v>
      </c>
      <c r="H193" s="149">
        <f t="shared" si="3"/>
        <v>7004.634929</v>
      </c>
      <c r="I193" s="150">
        <f t="shared" si="6"/>
        <v>1351.312321</v>
      </c>
      <c r="J193" s="35"/>
      <c r="K193" s="141"/>
      <c r="L193" s="141">
        <v>90.0</v>
      </c>
      <c r="M193" s="128">
        <f t="shared" si="7"/>
        <v>48824.54023</v>
      </c>
      <c r="N193" s="148">
        <f t="shared" si="8"/>
        <v>37.83749736</v>
      </c>
      <c r="O193" s="155">
        <f t="shared" si="9"/>
        <v>6267.713741</v>
      </c>
      <c r="P193" s="156">
        <f t="shared" ref="P193:Q193" si="98">P192+$L$7</f>
        <v>43935.24027</v>
      </c>
      <c r="Q193" s="157">
        <f t="shared" si="98"/>
        <v>43935.24027</v>
      </c>
      <c r="R193" s="147"/>
    </row>
    <row r="194" ht="14.25" customHeight="1" outlineLevel="1">
      <c r="A194" s="35"/>
      <c r="B194" s="116"/>
      <c r="C194" s="116"/>
      <c r="D194" s="141"/>
      <c r="E194" s="141">
        <v>91.0</v>
      </c>
      <c r="F194" s="128">
        <f t="shared" si="5"/>
        <v>56603.48767</v>
      </c>
      <c r="G194" s="148">
        <f t="shared" si="2"/>
        <v>32.54700541</v>
      </c>
      <c r="H194" s="149">
        <f t="shared" si="3"/>
        <v>7050.008306</v>
      </c>
      <c r="I194" s="150">
        <f t="shared" si="6"/>
        <v>1383.859326</v>
      </c>
      <c r="J194" s="35"/>
      <c r="K194" s="141"/>
      <c r="L194" s="141">
        <v>91.0</v>
      </c>
      <c r="M194" s="128">
        <f t="shared" si="7"/>
        <v>49553.47936</v>
      </c>
      <c r="N194" s="148">
        <f t="shared" si="8"/>
        <v>38.25663736</v>
      </c>
      <c r="O194" s="155">
        <f t="shared" si="9"/>
        <v>6305.970378</v>
      </c>
      <c r="P194" s="156">
        <f t="shared" ref="P194:Q194" si="99">P193+$L$7</f>
        <v>44423.40961</v>
      </c>
      <c r="Q194" s="157">
        <f t="shared" si="99"/>
        <v>44423.40961</v>
      </c>
      <c r="R194" s="147"/>
    </row>
    <row r="195" ht="14.25" customHeight="1" outlineLevel="1">
      <c r="A195" s="35"/>
      <c r="B195" s="116"/>
      <c r="C195" s="116"/>
      <c r="D195" s="141"/>
      <c r="E195" s="141">
        <v>92.0</v>
      </c>
      <c r="F195" s="128">
        <f t="shared" si="5"/>
        <v>57381.7305</v>
      </c>
      <c r="G195" s="148">
        <f t="shared" si="2"/>
        <v>32.99449504</v>
      </c>
      <c r="H195" s="149">
        <f t="shared" si="3"/>
        <v>7095.611993</v>
      </c>
      <c r="I195" s="150">
        <f t="shared" si="6"/>
        <v>1416.853821</v>
      </c>
      <c r="J195" s="35"/>
      <c r="K195" s="141"/>
      <c r="L195" s="141">
        <v>92.0</v>
      </c>
      <c r="M195" s="128">
        <f t="shared" si="7"/>
        <v>50286.11851</v>
      </c>
      <c r="N195" s="148">
        <f t="shared" si="8"/>
        <v>38.67790487</v>
      </c>
      <c r="O195" s="155">
        <f t="shared" si="9"/>
        <v>6344.648283</v>
      </c>
      <c r="P195" s="156">
        <f t="shared" ref="P195:Q195" si="100">P194+$L$7</f>
        <v>44911.57894</v>
      </c>
      <c r="Q195" s="157">
        <f t="shared" si="100"/>
        <v>44911.57894</v>
      </c>
      <c r="R195" s="147"/>
    </row>
    <row r="196" ht="14.25" customHeight="1" outlineLevel="1">
      <c r="A196" s="35"/>
      <c r="B196" s="116"/>
      <c r="C196" s="116"/>
      <c r="D196" s="141"/>
      <c r="E196" s="141">
        <v>93.0</v>
      </c>
      <c r="F196" s="128">
        <f t="shared" si="5"/>
        <v>58163.92361</v>
      </c>
      <c r="G196" s="148">
        <f t="shared" si="2"/>
        <v>33.44425608</v>
      </c>
      <c r="H196" s="149">
        <f t="shared" si="3"/>
        <v>7141.447159</v>
      </c>
      <c r="I196" s="150">
        <f t="shared" si="6"/>
        <v>1450.298077</v>
      </c>
      <c r="J196" s="35"/>
      <c r="K196" s="141"/>
      <c r="L196" s="141">
        <v>93.0</v>
      </c>
      <c r="M196" s="128">
        <f t="shared" si="7"/>
        <v>51022.47646</v>
      </c>
      <c r="N196" s="148">
        <f t="shared" si="8"/>
        <v>39.10131069</v>
      </c>
      <c r="O196" s="155">
        <f t="shared" si="9"/>
        <v>6383.749594</v>
      </c>
      <c r="P196" s="156">
        <f t="shared" ref="P196:Q196" si="101">P195+$L$7</f>
        <v>45399.74828</v>
      </c>
      <c r="Q196" s="157">
        <f t="shared" si="101"/>
        <v>45399.74828</v>
      </c>
      <c r="R196" s="147"/>
    </row>
    <row r="197" ht="14.25" customHeight="1" outlineLevel="1">
      <c r="A197" s="35"/>
      <c r="B197" s="116"/>
      <c r="C197" s="116"/>
      <c r="D197" s="141"/>
      <c r="E197" s="141">
        <v>94.0</v>
      </c>
      <c r="F197" s="128">
        <f t="shared" si="5"/>
        <v>58950.08706</v>
      </c>
      <c r="G197" s="148">
        <f t="shared" si="2"/>
        <v>33.89630006</v>
      </c>
      <c r="H197" s="149">
        <f t="shared" si="3"/>
        <v>7187.51498</v>
      </c>
      <c r="I197" s="150">
        <f t="shared" si="6"/>
        <v>1484.194377</v>
      </c>
      <c r="J197" s="35"/>
      <c r="K197" s="141"/>
      <c r="L197" s="141">
        <v>94.0</v>
      </c>
      <c r="M197" s="128">
        <f t="shared" si="7"/>
        <v>51762.57208</v>
      </c>
      <c r="N197" s="148">
        <f t="shared" si="8"/>
        <v>39.52686567</v>
      </c>
      <c r="O197" s="155">
        <f t="shared" si="9"/>
        <v>6423.27646</v>
      </c>
      <c r="P197" s="156">
        <f t="shared" ref="P197:Q197" si="102">P196+$L$7</f>
        <v>45887.91762</v>
      </c>
      <c r="Q197" s="157">
        <f t="shared" si="102"/>
        <v>45887.91762</v>
      </c>
      <c r="R197" s="147"/>
    </row>
    <row r="198" ht="14.25" customHeight="1" outlineLevel="1">
      <c r="A198" s="35"/>
      <c r="B198" s="116"/>
      <c r="C198" s="116"/>
      <c r="D198" s="141"/>
      <c r="E198" s="141">
        <v>95.0</v>
      </c>
      <c r="F198" s="128">
        <f t="shared" si="5"/>
        <v>59740.24098</v>
      </c>
      <c r="G198" s="148">
        <f t="shared" si="2"/>
        <v>34.35063856</v>
      </c>
      <c r="H198" s="149">
        <f t="shared" si="3"/>
        <v>7233.816637</v>
      </c>
      <c r="I198" s="150">
        <f t="shared" si="6"/>
        <v>1518.545016</v>
      </c>
      <c r="J198" s="35"/>
      <c r="K198" s="141"/>
      <c r="L198" s="141">
        <v>95.0</v>
      </c>
      <c r="M198" s="128">
        <f t="shared" si="7"/>
        <v>52506.42435</v>
      </c>
      <c r="N198" s="148">
        <f t="shared" si="8"/>
        <v>39.95458073</v>
      </c>
      <c r="O198" s="155">
        <f t="shared" si="9"/>
        <v>6463.23104</v>
      </c>
      <c r="P198" s="156">
        <f t="shared" ref="P198:Q198" si="103">P197+$L$7</f>
        <v>46376.08695</v>
      </c>
      <c r="Q198" s="157">
        <f t="shared" si="103"/>
        <v>46376.08695</v>
      </c>
      <c r="R198" s="147"/>
    </row>
    <row r="199" ht="14.25" customHeight="1" outlineLevel="1">
      <c r="A199" s="35"/>
      <c r="B199" s="116"/>
      <c r="C199" s="116"/>
      <c r="D199" s="141">
        <v>8.0</v>
      </c>
      <c r="E199" s="141">
        <v>96.0</v>
      </c>
      <c r="F199" s="128">
        <f t="shared" si="5"/>
        <v>60534.40564</v>
      </c>
      <c r="G199" s="148">
        <f t="shared" si="2"/>
        <v>34.80728325</v>
      </c>
      <c r="H199" s="149">
        <f t="shared" si="3"/>
        <v>7280.353315</v>
      </c>
      <c r="I199" s="150">
        <f t="shared" si="6"/>
        <v>1553.352299</v>
      </c>
      <c r="J199" s="35"/>
      <c r="K199" s="141">
        <v>8.0</v>
      </c>
      <c r="L199" s="141">
        <v>96.0</v>
      </c>
      <c r="M199" s="128">
        <f t="shared" si="7"/>
        <v>53254.05233</v>
      </c>
      <c r="N199" s="148">
        <f t="shared" si="8"/>
        <v>40.38446682</v>
      </c>
      <c r="O199" s="155">
        <f t="shared" si="9"/>
        <v>6503.615507</v>
      </c>
      <c r="P199" s="156">
        <f t="shared" ref="P199:Q199" si="104">P198+$L$7</f>
        <v>46864.25629</v>
      </c>
      <c r="Q199" s="157">
        <f t="shared" si="104"/>
        <v>46864.25629</v>
      </c>
      <c r="R199" s="147"/>
    </row>
    <row r="200" ht="14.25" customHeight="1" outlineLevel="1">
      <c r="A200" s="35"/>
      <c r="B200" s="116"/>
      <c r="C200" s="116"/>
      <c r="D200" s="141"/>
      <c r="E200" s="141">
        <v>97.0</v>
      </c>
      <c r="F200" s="128">
        <f t="shared" si="5"/>
        <v>61332.6014</v>
      </c>
      <c r="G200" s="148">
        <f t="shared" si="2"/>
        <v>35.26624581</v>
      </c>
      <c r="H200" s="149">
        <f t="shared" si="3"/>
        <v>7327.126209</v>
      </c>
      <c r="I200" s="150">
        <f t="shared" si="6"/>
        <v>1588.618545</v>
      </c>
      <c r="J200" s="35"/>
      <c r="K200" s="141"/>
      <c r="L200" s="141">
        <v>97.0</v>
      </c>
      <c r="M200" s="128">
        <f t="shared" si="7"/>
        <v>54005.47519</v>
      </c>
      <c r="N200" s="148">
        <f t="shared" si="8"/>
        <v>40.81653496</v>
      </c>
      <c r="O200" s="155">
        <f t="shared" si="9"/>
        <v>6544.432042</v>
      </c>
      <c r="P200" s="156">
        <f t="shared" ref="P200:Q200" si="105">P199+$L$7</f>
        <v>47352.42563</v>
      </c>
      <c r="Q200" s="157">
        <f t="shared" si="105"/>
        <v>47352.42563</v>
      </c>
      <c r="R200" s="147"/>
    </row>
    <row r="201" ht="14.25" customHeight="1" outlineLevel="1">
      <c r="A201" s="35"/>
      <c r="B201" s="116"/>
      <c r="C201" s="116"/>
      <c r="D201" s="141"/>
      <c r="E201" s="141">
        <v>98.0</v>
      </c>
      <c r="F201" s="128">
        <f t="shared" si="5"/>
        <v>62134.84872</v>
      </c>
      <c r="G201" s="148">
        <f t="shared" si="2"/>
        <v>35.72753801</v>
      </c>
      <c r="H201" s="149">
        <f t="shared" si="3"/>
        <v>7374.136517</v>
      </c>
      <c r="I201" s="150">
        <f t="shared" si="6"/>
        <v>1624.346083</v>
      </c>
      <c r="J201" s="35"/>
      <c r="K201" s="141"/>
      <c r="L201" s="141">
        <v>98.0</v>
      </c>
      <c r="M201" s="128">
        <f t="shared" si="7"/>
        <v>54760.7122</v>
      </c>
      <c r="N201" s="148">
        <f t="shared" si="8"/>
        <v>41.25079624</v>
      </c>
      <c r="O201" s="155">
        <f t="shared" si="9"/>
        <v>6585.682838</v>
      </c>
      <c r="P201" s="156">
        <f t="shared" ref="P201:Q201" si="106">P200+$L$7</f>
        <v>47840.59496</v>
      </c>
      <c r="Q201" s="157">
        <f t="shared" si="106"/>
        <v>47840.59496</v>
      </c>
      <c r="R201" s="147"/>
    </row>
    <row r="202" ht="14.25" customHeight="1" outlineLevel="1">
      <c r="A202" s="35"/>
      <c r="B202" s="116"/>
      <c r="C202" s="116"/>
      <c r="D202" s="141"/>
      <c r="E202" s="141">
        <v>99.0</v>
      </c>
      <c r="F202" s="128">
        <f t="shared" si="5"/>
        <v>62941.16816</v>
      </c>
      <c r="G202" s="148">
        <f t="shared" si="2"/>
        <v>36.19117169</v>
      </c>
      <c r="H202" s="149">
        <f t="shared" si="3"/>
        <v>7421.385445</v>
      </c>
      <c r="I202" s="150">
        <f t="shared" si="6"/>
        <v>1660.537255</v>
      </c>
      <c r="J202" s="35"/>
      <c r="K202" s="141"/>
      <c r="L202" s="141">
        <v>99.0</v>
      </c>
      <c r="M202" s="128">
        <f t="shared" si="7"/>
        <v>55519.78271</v>
      </c>
      <c r="N202" s="148">
        <f t="shared" si="8"/>
        <v>41.68726179</v>
      </c>
      <c r="O202" s="155">
        <f t="shared" si="9"/>
        <v>6627.3701</v>
      </c>
      <c r="P202" s="156">
        <f t="shared" ref="P202:Q202" si="107">P201+$L$7</f>
        <v>48328.7643</v>
      </c>
      <c r="Q202" s="157">
        <f t="shared" si="107"/>
        <v>48328.7643</v>
      </c>
      <c r="R202" s="147"/>
    </row>
    <row r="203" ht="14.25" customHeight="1" outlineLevel="1">
      <c r="A203" s="35"/>
      <c r="B203" s="116"/>
      <c r="C203" s="116"/>
      <c r="D203" s="141"/>
      <c r="E203" s="141">
        <v>100.0</v>
      </c>
      <c r="F203" s="128">
        <f t="shared" si="5"/>
        <v>63751.58039</v>
      </c>
      <c r="G203" s="148">
        <f t="shared" si="2"/>
        <v>36.65715872</v>
      </c>
      <c r="H203" s="149">
        <f t="shared" si="3"/>
        <v>7468.874203</v>
      </c>
      <c r="I203" s="150">
        <f t="shared" si="6"/>
        <v>1697.194413</v>
      </c>
      <c r="J203" s="35"/>
      <c r="K203" s="141"/>
      <c r="L203" s="141">
        <v>100.0</v>
      </c>
      <c r="M203" s="128">
        <f t="shared" si="7"/>
        <v>56282.70618</v>
      </c>
      <c r="N203" s="148">
        <f t="shared" si="8"/>
        <v>42.12594278</v>
      </c>
      <c r="O203" s="155">
        <f t="shared" si="9"/>
        <v>6669.496043</v>
      </c>
      <c r="P203" s="156">
        <f t="shared" ref="P203:Q203" si="108">P202+$L$7</f>
        <v>48816.93364</v>
      </c>
      <c r="Q203" s="157">
        <f t="shared" si="108"/>
        <v>48816.93364</v>
      </c>
      <c r="R203" s="147"/>
    </row>
    <row r="204" ht="14.25" customHeight="1" outlineLevel="1">
      <c r="A204" s="35"/>
      <c r="B204" s="116"/>
      <c r="C204" s="116"/>
      <c r="D204" s="141"/>
      <c r="E204" s="141">
        <v>101.0</v>
      </c>
      <c r="F204" s="128">
        <f t="shared" si="5"/>
        <v>64566.10618</v>
      </c>
      <c r="G204" s="148">
        <f t="shared" si="2"/>
        <v>37.12551106</v>
      </c>
      <c r="H204" s="149">
        <f t="shared" si="3"/>
        <v>7516.604009</v>
      </c>
      <c r="I204" s="150">
        <f t="shared" si="6"/>
        <v>1734.319924</v>
      </c>
      <c r="J204" s="35"/>
      <c r="K204" s="141"/>
      <c r="L204" s="141">
        <v>101.0</v>
      </c>
      <c r="M204" s="128">
        <f t="shared" si="7"/>
        <v>57049.50218</v>
      </c>
      <c r="N204" s="148">
        <f t="shared" si="8"/>
        <v>42.56685048</v>
      </c>
      <c r="O204" s="155">
        <f t="shared" si="9"/>
        <v>6712.062893</v>
      </c>
      <c r="P204" s="156">
        <f t="shared" ref="P204:Q204" si="109">P203+$L$7</f>
        <v>49305.10297</v>
      </c>
      <c r="Q204" s="157">
        <f t="shared" si="109"/>
        <v>49305.10297</v>
      </c>
      <c r="R204" s="147"/>
    </row>
    <row r="205" ht="14.25" customHeight="1" outlineLevel="1">
      <c r="A205" s="35"/>
      <c r="B205" s="116"/>
      <c r="C205" s="116"/>
      <c r="D205" s="141"/>
      <c r="E205" s="141">
        <v>102.0</v>
      </c>
      <c r="F205" s="128">
        <f t="shared" si="5"/>
        <v>65384.76643</v>
      </c>
      <c r="G205" s="148">
        <f t="shared" si="2"/>
        <v>37.5962407</v>
      </c>
      <c r="H205" s="149">
        <f t="shared" si="3"/>
        <v>7564.576086</v>
      </c>
      <c r="I205" s="150">
        <f t="shared" si="6"/>
        <v>1771.916165</v>
      </c>
      <c r="J205" s="35"/>
      <c r="K205" s="141"/>
      <c r="L205" s="141">
        <v>102.0</v>
      </c>
      <c r="M205" s="128">
        <f t="shared" si="7"/>
        <v>57820.19034</v>
      </c>
      <c r="N205" s="148">
        <f t="shared" si="8"/>
        <v>43.00999617</v>
      </c>
      <c r="O205" s="155">
        <f t="shared" si="9"/>
        <v>6755.072889</v>
      </c>
      <c r="P205" s="156">
        <f t="shared" ref="P205:Q205" si="110">P204+$L$7</f>
        <v>49793.27231</v>
      </c>
      <c r="Q205" s="157">
        <f t="shared" si="110"/>
        <v>49793.27231</v>
      </c>
      <c r="R205" s="147"/>
    </row>
    <row r="206" ht="14.25" customHeight="1" outlineLevel="1">
      <c r="A206" s="35"/>
      <c r="B206" s="116"/>
      <c r="C206" s="116"/>
      <c r="D206" s="141"/>
      <c r="E206" s="141">
        <v>103.0</v>
      </c>
      <c r="F206" s="128">
        <f t="shared" si="5"/>
        <v>66207.58211</v>
      </c>
      <c r="G206" s="148">
        <f t="shared" si="2"/>
        <v>38.06935971</v>
      </c>
      <c r="H206" s="149">
        <f t="shared" si="3"/>
        <v>7612.791665</v>
      </c>
      <c r="I206" s="150">
        <f t="shared" si="6"/>
        <v>1809.985525</v>
      </c>
      <c r="J206" s="35"/>
      <c r="K206" s="141"/>
      <c r="L206" s="141">
        <v>103.0</v>
      </c>
      <c r="M206" s="128">
        <f t="shared" si="7"/>
        <v>58594.79044</v>
      </c>
      <c r="N206" s="148">
        <f t="shared" si="8"/>
        <v>43.45539123</v>
      </c>
      <c r="O206" s="155">
        <f t="shared" si="9"/>
        <v>6798.528281</v>
      </c>
      <c r="P206" s="156">
        <f t="shared" ref="P206:Q206" si="111">P205+$L$7</f>
        <v>50281.44164</v>
      </c>
      <c r="Q206" s="157">
        <f t="shared" si="111"/>
        <v>50281.44164</v>
      </c>
      <c r="R206" s="147"/>
    </row>
    <row r="207" ht="14.25" customHeight="1" outlineLevel="1">
      <c r="A207" s="35"/>
      <c r="B207" s="116"/>
      <c r="C207" s="116"/>
      <c r="D207" s="141"/>
      <c r="E207" s="141">
        <v>104.0</v>
      </c>
      <c r="F207" s="128">
        <f t="shared" si="5"/>
        <v>67034.57431</v>
      </c>
      <c r="G207" s="148">
        <f t="shared" si="2"/>
        <v>38.54488023</v>
      </c>
      <c r="H207" s="149">
        <f t="shared" si="3"/>
        <v>7661.251981</v>
      </c>
      <c r="I207" s="150">
        <f t="shared" si="6"/>
        <v>1848.530405</v>
      </c>
      <c r="J207" s="35"/>
      <c r="K207" s="141"/>
      <c r="L207" s="141">
        <v>104.0</v>
      </c>
      <c r="M207" s="128">
        <f t="shared" si="7"/>
        <v>59373.32233</v>
      </c>
      <c r="N207" s="148">
        <f t="shared" si="8"/>
        <v>43.90304707</v>
      </c>
      <c r="O207" s="155">
        <f t="shared" si="9"/>
        <v>6842.431328</v>
      </c>
      <c r="P207" s="156">
        <f t="shared" ref="P207:Q207" si="112">P206+$L$7</f>
        <v>50769.61098</v>
      </c>
      <c r="Q207" s="157">
        <f t="shared" si="112"/>
        <v>50769.61098</v>
      </c>
      <c r="R207" s="147"/>
    </row>
    <row r="208" ht="14.25" customHeight="1" outlineLevel="1">
      <c r="A208" s="35"/>
      <c r="B208" s="116"/>
      <c r="C208" s="116"/>
      <c r="D208" s="141"/>
      <c r="E208" s="141">
        <v>105.0</v>
      </c>
      <c r="F208" s="128">
        <f t="shared" si="5"/>
        <v>67865.76424</v>
      </c>
      <c r="G208" s="148">
        <f t="shared" si="2"/>
        <v>39.02281444</v>
      </c>
      <c r="H208" s="149">
        <f t="shared" si="3"/>
        <v>7709.958276</v>
      </c>
      <c r="I208" s="150">
        <f t="shared" si="6"/>
        <v>1887.55322</v>
      </c>
      <c r="J208" s="35"/>
      <c r="K208" s="141"/>
      <c r="L208" s="141">
        <v>105.0</v>
      </c>
      <c r="M208" s="128">
        <f t="shared" si="7"/>
        <v>60155.80596</v>
      </c>
      <c r="N208" s="148">
        <f t="shared" si="8"/>
        <v>44.35297515</v>
      </c>
      <c r="O208" s="155">
        <f t="shared" si="9"/>
        <v>6886.784303</v>
      </c>
      <c r="P208" s="156">
        <f t="shared" ref="P208:Q208" si="113">P207+$L$7</f>
        <v>51257.78032</v>
      </c>
      <c r="Q208" s="157">
        <f t="shared" si="113"/>
        <v>51257.78032</v>
      </c>
      <c r="R208" s="147"/>
    </row>
    <row r="209" ht="14.25" customHeight="1" outlineLevel="1">
      <c r="A209" s="35"/>
      <c r="B209" s="116"/>
      <c r="C209" s="116"/>
      <c r="D209" s="141"/>
      <c r="E209" s="141">
        <v>106.0</v>
      </c>
      <c r="F209" s="128">
        <f t="shared" si="5"/>
        <v>68701.1732</v>
      </c>
      <c r="G209" s="148">
        <f t="shared" si="2"/>
        <v>39.50317459</v>
      </c>
      <c r="H209" s="149">
        <f t="shared" si="3"/>
        <v>7758.911799</v>
      </c>
      <c r="I209" s="150">
        <f t="shared" si="6"/>
        <v>1927.056394</v>
      </c>
      <c r="J209" s="35"/>
      <c r="K209" s="141"/>
      <c r="L209" s="141">
        <v>106.0</v>
      </c>
      <c r="M209" s="128">
        <f t="shared" si="7"/>
        <v>60942.2614</v>
      </c>
      <c r="N209" s="148">
        <f t="shared" si="8"/>
        <v>44.80518703</v>
      </c>
      <c r="O209" s="155">
        <f t="shared" si="9"/>
        <v>6931.58949</v>
      </c>
      <c r="P209" s="156">
        <f t="shared" ref="P209:Q209" si="114">P208+$L$7</f>
        <v>51745.94965</v>
      </c>
      <c r="Q209" s="157">
        <f t="shared" si="114"/>
        <v>51745.94965</v>
      </c>
      <c r="R209" s="147"/>
    </row>
    <row r="210" ht="14.25" customHeight="1" outlineLevel="1">
      <c r="A210" s="35"/>
      <c r="B210" s="116"/>
      <c r="C210" s="116"/>
      <c r="D210" s="141"/>
      <c r="E210" s="141">
        <v>107.0</v>
      </c>
      <c r="F210" s="128">
        <f t="shared" si="5"/>
        <v>69540.8226</v>
      </c>
      <c r="G210" s="148">
        <f t="shared" si="2"/>
        <v>39.985973</v>
      </c>
      <c r="H210" s="149">
        <f t="shared" si="3"/>
        <v>7808.113805</v>
      </c>
      <c r="I210" s="150">
        <f t="shared" si="6"/>
        <v>1967.042367</v>
      </c>
      <c r="J210" s="35"/>
      <c r="K210" s="141"/>
      <c r="L210" s="141">
        <v>107.0</v>
      </c>
      <c r="M210" s="128">
        <f t="shared" si="7"/>
        <v>61732.7088</v>
      </c>
      <c r="N210" s="148">
        <f t="shared" si="8"/>
        <v>45.25969429</v>
      </c>
      <c r="O210" s="155">
        <f t="shared" si="9"/>
        <v>6976.849184</v>
      </c>
      <c r="P210" s="156">
        <f t="shared" ref="P210:Q210" si="115">P209+$L$7</f>
        <v>52234.11899</v>
      </c>
      <c r="Q210" s="157">
        <f t="shared" si="115"/>
        <v>52234.11899</v>
      </c>
      <c r="R210" s="147"/>
    </row>
    <row r="211" ht="14.25" customHeight="1" outlineLevel="1">
      <c r="A211" s="35"/>
      <c r="B211" s="116"/>
      <c r="C211" s="116"/>
      <c r="D211" s="141">
        <v>9.0</v>
      </c>
      <c r="E211" s="141">
        <v>108.0</v>
      </c>
      <c r="F211" s="128">
        <f t="shared" si="5"/>
        <v>70384.73398</v>
      </c>
      <c r="G211" s="148">
        <f t="shared" si="2"/>
        <v>40.47122204</v>
      </c>
      <c r="H211" s="149">
        <f t="shared" si="3"/>
        <v>7857.565556</v>
      </c>
      <c r="I211" s="150">
        <f t="shared" si="6"/>
        <v>2007.513589</v>
      </c>
      <c r="J211" s="35"/>
      <c r="K211" s="141">
        <v>9.0</v>
      </c>
      <c r="L211" s="141">
        <v>108.0</v>
      </c>
      <c r="M211" s="128">
        <f t="shared" si="7"/>
        <v>62527.16843</v>
      </c>
      <c r="N211" s="148">
        <f t="shared" si="8"/>
        <v>45.71650857</v>
      </c>
      <c r="O211" s="155">
        <f t="shared" si="9"/>
        <v>7022.565693</v>
      </c>
      <c r="P211" s="156">
        <f t="shared" ref="P211:Q211" si="116">P210+$L$7</f>
        <v>52722.28833</v>
      </c>
      <c r="Q211" s="157">
        <f t="shared" si="116"/>
        <v>52722.28833</v>
      </c>
      <c r="R211" s="147"/>
    </row>
    <row r="212" ht="14.25" customHeight="1" outlineLevel="1">
      <c r="A212" s="35"/>
      <c r="B212" s="116"/>
      <c r="C212" s="116"/>
      <c r="D212" s="141"/>
      <c r="E212" s="141">
        <v>109.0</v>
      </c>
      <c r="F212" s="128">
        <f t="shared" si="5"/>
        <v>71232.92896</v>
      </c>
      <c r="G212" s="148">
        <f t="shared" si="2"/>
        <v>40.95893415</v>
      </c>
      <c r="H212" s="149">
        <f t="shared" si="3"/>
        <v>7907.268318</v>
      </c>
      <c r="I212" s="150">
        <f t="shared" si="6"/>
        <v>2048.472523</v>
      </c>
      <c r="J212" s="35"/>
      <c r="K212" s="141"/>
      <c r="L212" s="141">
        <v>109.0</v>
      </c>
      <c r="M212" s="128">
        <f t="shared" si="7"/>
        <v>63325.66065</v>
      </c>
      <c r="N212" s="148">
        <f t="shared" si="8"/>
        <v>46.1756416</v>
      </c>
      <c r="O212" s="155">
        <f t="shared" si="9"/>
        <v>7068.741334</v>
      </c>
      <c r="P212" s="156">
        <f t="shared" ref="P212:Q212" si="117">P211+$L$7</f>
        <v>53210.45766</v>
      </c>
      <c r="Q212" s="157">
        <f t="shared" si="117"/>
        <v>53210.45766</v>
      </c>
      <c r="R212" s="147"/>
    </row>
    <row r="213" ht="14.25" customHeight="1" outlineLevel="1">
      <c r="A213" s="35"/>
      <c r="B213" s="116"/>
      <c r="C213" s="116"/>
      <c r="D213" s="141"/>
      <c r="E213" s="141">
        <v>110.0</v>
      </c>
      <c r="F213" s="128">
        <f t="shared" si="5"/>
        <v>72085.4293</v>
      </c>
      <c r="G213" s="148">
        <f t="shared" si="2"/>
        <v>41.44912185</v>
      </c>
      <c r="H213" s="149">
        <f t="shared" si="3"/>
        <v>7957.223366</v>
      </c>
      <c r="I213" s="150">
        <f t="shared" si="6"/>
        <v>2089.921645</v>
      </c>
      <c r="J213" s="35"/>
      <c r="K213" s="141"/>
      <c r="L213" s="141">
        <v>110.0</v>
      </c>
      <c r="M213" s="128">
        <f t="shared" si="7"/>
        <v>64128.20593</v>
      </c>
      <c r="N213" s="148">
        <f t="shared" si="8"/>
        <v>46.63710514</v>
      </c>
      <c r="O213" s="155">
        <f t="shared" si="9"/>
        <v>7115.37844</v>
      </c>
      <c r="P213" s="156">
        <f t="shared" ref="P213:Q213" si="118">P212+$L$7</f>
        <v>53698.627</v>
      </c>
      <c r="Q213" s="157">
        <f t="shared" si="118"/>
        <v>53698.627</v>
      </c>
      <c r="R213" s="147"/>
    </row>
    <row r="214" ht="14.25" customHeight="1" outlineLevel="1">
      <c r="A214" s="35"/>
      <c r="B214" s="116"/>
      <c r="C214" s="116"/>
      <c r="D214" s="141"/>
      <c r="E214" s="141">
        <v>111.0</v>
      </c>
      <c r="F214" s="128">
        <f t="shared" si="5"/>
        <v>72942.25683</v>
      </c>
      <c r="G214" s="148">
        <f t="shared" si="2"/>
        <v>41.94179768</v>
      </c>
      <c r="H214" s="149">
        <f t="shared" si="3"/>
        <v>8007.431981</v>
      </c>
      <c r="I214" s="150">
        <f t="shared" si="6"/>
        <v>2131.863443</v>
      </c>
      <c r="J214" s="35"/>
      <c r="K214" s="141"/>
      <c r="L214" s="141">
        <v>111.0</v>
      </c>
      <c r="M214" s="128">
        <f t="shared" si="7"/>
        <v>64934.82485</v>
      </c>
      <c r="N214" s="148">
        <f t="shared" si="8"/>
        <v>47.10091101</v>
      </c>
      <c r="O214" s="155">
        <f t="shared" si="9"/>
        <v>7162.479351</v>
      </c>
      <c r="P214" s="156">
        <f t="shared" ref="P214:Q214" si="119">P213+$L$7</f>
        <v>54186.79634</v>
      </c>
      <c r="Q214" s="157">
        <f t="shared" si="119"/>
        <v>54186.79634</v>
      </c>
      <c r="R214" s="147"/>
    </row>
    <row r="215" ht="14.25" customHeight="1" outlineLevel="1">
      <c r="A215" s="35"/>
      <c r="B215" s="116"/>
      <c r="C215" s="116"/>
      <c r="D215" s="141"/>
      <c r="E215" s="141">
        <v>112.0</v>
      </c>
      <c r="F215" s="128">
        <f t="shared" si="5"/>
        <v>73803.43353</v>
      </c>
      <c r="G215" s="148">
        <f t="shared" si="2"/>
        <v>42.43697428</v>
      </c>
      <c r="H215" s="149">
        <f t="shared" si="3"/>
        <v>8057.895449</v>
      </c>
      <c r="I215" s="150">
        <f t="shared" si="6"/>
        <v>2174.300417</v>
      </c>
      <c r="J215" s="35"/>
      <c r="K215" s="141"/>
      <c r="L215" s="141">
        <v>112.0</v>
      </c>
      <c r="M215" s="128">
        <f t="shared" si="7"/>
        <v>65745.53808</v>
      </c>
      <c r="N215" s="148">
        <f t="shared" si="8"/>
        <v>47.56707112</v>
      </c>
      <c r="O215" s="155">
        <f t="shared" si="9"/>
        <v>7210.046422</v>
      </c>
      <c r="P215" s="156">
        <f t="shared" ref="P215:Q215" si="120">P214+$L$7</f>
        <v>54674.96567</v>
      </c>
      <c r="Q215" s="157">
        <f t="shared" si="120"/>
        <v>54674.96567</v>
      </c>
      <c r="R215" s="147"/>
    </row>
    <row r="216" ht="14.25" customHeight="1" outlineLevel="1">
      <c r="A216" s="35"/>
      <c r="B216" s="116"/>
      <c r="C216" s="116"/>
      <c r="D216" s="141"/>
      <c r="E216" s="141">
        <v>113.0</v>
      </c>
      <c r="F216" s="128">
        <f t="shared" si="5"/>
        <v>74668.98147</v>
      </c>
      <c r="G216" s="148">
        <f t="shared" si="2"/>
        <v>42.93466434</v>
      </c>
      <c r="H216" s="149">
        <f t="shared" si="3"/>
        <v>8108.615065</v>
      </c>
      <c r="I216" s="150">
        <f t="shared" si="6"/>
        <v>2217.235081</v>
      </c>
      <c r="J216" s="35"/>
      <c r="K216" s="141"/>
      <c r="L216" s="141">
        <v>113.0</v>
      </c>
      <c r="M216" s="128">
        <f t="shared" si="7"/>
        <v>66560.3664</v>
      </c>
      <c r="N216" s="148">
        <f t="shared" si="8"/>
        <v>48.03559741</v>
      </c>
      <c r="O216" s="155">
        <f t="shared" si="9"/>
        <v>7258.082019</v>
      </c>
      <c r="P216" s="156">
        <f t="shared" ref="P216:Q216" si="121">P215+$L$7</f>
        <v>55163.13501</v>
      </c>
      <c r="Q216" s="157">
        <f t="shared" si="121"/>
        <v>55163.13501</v>
      </c>
      <c r="R216" s="147"/>
    </row>
    <row r="217" ht="14.25" customHeight="1" outlineLevel="1">
      <c r="A217" s="35"/>
      <c r="B217" s="116"/>
      <c r="C217" s="116"/>
      <c r="D217" s="141"/>
      <c r="E217" s="141">
        <v>114.0</v>
      </c>
      <c r="F217" s="128">
        <f t="shared" si="5"/>
        <v>75538.92284</v>
      </c>
      <c r="G217" s="148">
        <f t="shared" si="2"/>
        <v>43.43488063</v>
      </c>
      <c r="H217" s="149">
        <f t="shared" si="3"/>
        <v>8159.592127</v>
      </c>
      <c r="I217" s="150">
        <f t="shared" si="6"/>
        <v>2260.669962</v>
      </c>
      <c r="J217" s="35"/>
      <c r="K217" s="141"/>
      <c r="L217" s="141">
        <v>114.0</v>
      </c>
      <c r="M217" s="128">
        <f t="shared" si="7"/>
        <v>67379.33071</v>
      </c>
      <c r="N217" s="148">
        <f t="shared" si="8"/>
        <v>48.50650189</v>
      </c>
      <c r="O217" s="155">
        <f t="shared" si="9"/>
        <v>7306.588521</v>
      </c>
      <c r="P217" s="156">
        <f t="shared" ref="P217:Q217" si="122">P216+$L$7</f>
        <v>55651.30434</v>
      </c>
      <c r="Q217" s="157">
        <f t="shared" si="122"/>
        <v>55651.30434</v>
      </c>
      <c r="R217" s="147"/>
    </row>
    <row r="218" ht="14.25" customHeight="1" outlineLevel="1">
      <c r="A218" s="35"/>
      <c r="B218" s="116"/>
      <c r="C218" s="116"/>
      <c r="D218" s="141"/>
      <c r="E218" s="141">
        <v>115.0</v>
      </c>
      <c r="F218" s="128">
        <f t="shared" si="5"/>
        <v>76413.27994</v>
      </c>
      <c r="G218" s="148">
        <f t="shared" si="2"/>
        <v>43.93763597</v>
      </c>
      <c r="H218" s="149">
        <f t="shared" si="3"/>
        <v>8210.827945</v>
      </c>
      <c r="I218" s="150">
        <f t="shared" si="6"/>
        <v>2304.607598</v>
      </c>
      <c r="J218" s="35"/>
      <c r="K218" s="141"/>
      <c r="L218" s="141">
        <v>115.0</v>
      </c>
      <c r="M218" s="128">
        <f t="shared" si="7"/>
        <v>68202.452</v>
      </c>
      <c r="N218" s="148">
        <f t="shared" si="8"/>
        <v>48.97979662</v>
      </c>
      <c r="O218" s="155">
        <f t="shared" si="9"/>
        <v>7355.568318</v>
      </c>
      <c r="P218" s="156">
        <f t="shared" ref="P218:Q218" si="123">P217+$L$7</f>
        <v>56139.47368</v>
      </c>
      <c r="Q218" s="157">
        <f t="shared" si="123"/>
        <v>56139.47368</v>
      </c>
      <c r="R218" s="147"/>
    </row>
    <row r="219" ht="14.25" customHeight="1" outlineLevel="1">
      <c r="A219" s="35"/>
      <c r="B219" s="116"/>
      <c r="C219" s="116"/>
      <c r="D219" s="141"/>
      <c r="E219" s="141">
        <v>116.0</v>
      </c>
      <c r="F219" s="128">
        <f t="shared" si="5"/>
        <v>77292.07519</v>
      </c>
      <c r="G219" s="148">
        <f t="shared" si="2"/>
        <v>44.44294323</v>
      </c>
      <c r="H219" s="149">
        <f t="shared" si="3"/>
        <v>8262.323829</v>
      </c>
      <c r="I219" s="150">
        <f t="shared" si="6"/>
        <v>2349.050541</v>
      </c>
      <c r="J219" s="35"/>
      <c r="K219" s="141"/>
      <c r="L219" s="141">
        <v>116.0</v>
      </c>
      <c r="M219" s="128">
        <f t="shared" si="7"/>
        <v>69029.75136</v>
      </c>
      <c r="N219" s="148">
        <f t="shared" si="8"/>
        <v>49.45549376</v>
      </c>
      <c r="O219" s="155">
        <f t="shared" si="9"/>
        <v>7405.023811</v>
      </c>
      <c r="P219" s="156">
        <f t="shared" ref="P219:Q219" si="124">P218+$L$7</f>
        <v>56627.64302</v>
      </c>
      <c r="Q219" s="157">
        <f t="shared" si="124"/>
        <v>56627.64302</v>
      </c>
      <c r="R219" s="147"/>
    </row>
    <row r="220" ht="14.25" customHeight="1" outlineLevel="1">
      <c r="A220" s="35"/>
      <c r="B220" s="116"/>
      <c r="C220" s="116"/>
      <c r="D220" s="141"/>
      <c r="E220" s="141">
        <v>117.0</v>
      </c>
      <c r="F220" s="128">
        <f t="shared" si="5"/>
        <v>78175.3311</v>
      </c>
      <c r="G220" s="148">
        <f t="shared" si="2"/>
        <v>44.95081538</v>
      </c>
      <c r="H220" s="149">
        <f t="shared" si="3"/>
        <v>8314.081102</v>
      </c>
      <c r="I220" s="150">
        <f t="shared" si="6"/>
        <v>2394.001357</v>
      </c>
      <c r="J220" s="35"/>
      <c r="K220" s="141"/>
      <c r="L220" s="141">
        <v>117.0</v>
      </c>
      <c r="M220" s="128">
        <f t="shared" si="7"/>
        <v>69861.25</v>
      </c>
      <c r="N220" s="148">
        <f t="shared" si="8"/>
        <v>49.93360548</v>
      </c>
      <c r="O220" s="155">
        <f t="shared" si="9"/>
        <v>7454.957417</v>
      </c>
      <c r="P220" s="156">
        <f t="shared" ref="P220:Q220" si="125">P219+$L$7</f>
        <v>57115.81235</v>
      </c>
      <c r="Q220" s="157">
        <f t="shared" si="125"/>
        <v>57115.81235</v>
      </c>
      <c r="R220" s="147"/>
    </row>
    <row r="221" ht="14.25" customHeight="1" outlineLevel="1">
      <c r="A221" s="35"/>
      <c r="B221" s="116"/>
      <c r="C221" s="116"/>
      <c r="D221" s="141"/>
      <c r="E221" s="141">
        <v>118.0</v>
      </c>
      <c r="F221" s="128">
        <f t="shared" si="5"/>
        <v>79063.07033</v>
      </c>
      <c r="G221" s="148">
        <f t="shared" si="2"/>
        <v>45.46126544</v>
      </c>
      <c r="H221" s="149">
        <f t="shared" si="3"/>
        <v>8366.101089</v>
      </c>
      <c r="I221" s="150">
        <f t="shared" si="6"/>
        <v>2439.462622</v>
      </c>
      <c r="J221" s="35"/>
      <c r="K221" s="141"/>
      <c r="L221" s="141">
        <v>118.0</v>
      </c>
      <c r="M221" s="128">
        <f t="shared" si="7"/>
        <v>70696.96925</v>
      </c>
      <c r="N221" s="148">
        <f t="shared" si="8"/>
        <v>50.41414404</v>
      </c>
      <c r="O221" s="155">
        <f t="shared" si="9"/>
        <v>7505.371561</v>
      </c>
      <c r="P221" s="156">
        <f t="shared" ref="P221:Q221" si="126">P220+$L$7</f>
        <v>57603.98169</v>
      </c>
      <c r="Q221" s="157">
        <f t="shared" si="126"/>
        <v>57603.98169</v>
      </c>
      <c r="R221" s="147"/>
    </row>
    <row r="222" ht="14.25" customHeight="1" outlineLevel="1">
      <c r="A222" s="35"/>
      <c r="B222" s="116"/>
      <c r="C222" s="116"/>
      <c r="D222" s="141"/>
      <c r="E222" s="141">
        <v>119.0</v>
      </c>
      <c r="F222" s="128">
        <f t="shared" si="5"/>
        <v>79955.31564</v>
      </c>
      <c r="G222" s="148">
        <f t="shared" si="2"/>
        <v>45.97430649</v>
      </c>
      <c r="H222" s="149">
        <f t="shared" si="3"/>
        <v>8418.385123</v>
      </c>
      <c r="I222" s="150">
        <f t="shared" si="6"/>
        <v>2485.436929</v>
      </c>
      <c r="J222" s="35"/>
      <c r="K222" s="141"/>
      <c r="L222" s="141">
        <v>119.0</v>
      </c>
      <c r="M222" s="128">
        <f t="shared" si="7"/>
        <v>71536.93051</v>
      </c>
      <c r="N222" s="148">
        <f t="shared" si="8"/>
        <v>50.89712177</v>
      </c>
      <c r="O222" s="155">
        <f t="shared" si="9"/>
        <v>7556.268683</v>
      </c>
      <c r="P222" s="156">
        <f t="shared" ref="P222:Q222" si="127">P221+$L$7</f>
        <v>58092.15103</v>
      </c>
      <c r="Q222" s="157">
        <f t="shared" si="127"/>
        <v>58092.15103</v>
      </c>
      <c r="R222" s="147"/>
    </row>
    <row r="223" ht="14.25" customHeight="1" outlineLevel="1">
      <c r="A223" s="35"/>
      <c r="B223" s="116"/>
      <c r="C223" s="116"/>
      <c r="D223" s="141">
        <v>10.0</v>
      </c>
      <c r="E223" s="141">
        <v>120.0</v>
      </c>
      <c r="F223" s="128">
        <f t="shared" si="5"/>
        <v>80852.08988</v>
      </c>
      <c r="G223" s="148">
        <f t="shared" si="2"/>
        <v>46.48995168</v>
      </c>
      <c r="H223" s="149">
        <f t="shared" si="3"/>
        <v>8470.934546</v>
      </c>
      <c r="I223" s="150">
        <f t="shared" si="6"/>
        <v>2531.92688</v>
      </c>
      <c r="J223" s="35"/>
      <c r="K223" s="141">
        <v>10.0</v>
      </c>
      <c r="L223" s="141">
        <v>120.0</v>
      </c>
      <c r="M223" s="128">
        <f t="shared" si="7"/>
        <v>72381.15533</v>
      </c>
      <c r="N223" s="148">
        <f t="shared" si="8"/>
        <v>51.38255104</v>
      </c>
      <c r="O223" s="155">
        <f t="shared" si="9"/>
        <v>7607.651234</v>
      </c>
      <c r="P223" s="156">
        <f t="shared" ref="P223:Q223" si="128">P222+$L$7</f>
        <v>58580.32036</v>
      </c>
      <c r="Q223" s="157">
        <f t="shared" si="128"/>
        <v>58580.32036</v>
      </c>
      <c r="R223" s="147"/>
    </row>
    <row r="224" ht="14.25" customHeight="1" outlineLevel="1">
      <c r="A224" s="35"/>
      <c r="B224" s="116"/>
      <c r="C224" s="116"/>
      <c r="D224" s="141"/>
      <c r="E224" s="141">
        <v>121.0</v>
      </c>
      <c r="F224" s="128">
        <f t="shared" si="5"/>
        <v>81753.41605</v>
      </c>
      <c r="G224" s="148">
        <f t="shared" si="2"/>
        <v>47.00821423</v>
      </c>
      <c r="H224" s="149">
        <f t="shared" si="3"/>
        <v>8523.750705</v>
      </c>
      <c r="I224" s="150">
        <f t="shared" si="6"/>
        <v>2578.935095</v>
      </c>
      <c r="J224" s="35"/>
      <c r="K224" s="141"/>
      <c r="L224" s="141">
        <v>121.0</v>
      </c>
      <c r="M224" s="128">
        <f t="shared" si="7"/>
        <v>73229.66535</v>
      </c>
      <c r="N224" s="148">
        <f t="shared" si="8"/>
        <v>51.8704443</v>
      </c>
      <c r="O224" s="155">
        <f t="shared" si="9"/>
        <v>7659.521678</v>
      </c>
      <c r="P224" s="156">
        <f t="shared" ref="P224:Q224" si="129">P223+$L$7</f>
        <v>59068.4897</v>
      </c>
      <c r="Q224" s="157">
        <f t="shared" si="129"/>
        <v>59068.4897</v>
      </c>
      <c r="R224" s="147"/>
    </row>
    <row r="225" ht="14.25" customHeight="1" outlineLevel="1">
      <c r="A225" s="35"/>
      <c r="B225" s="116"/>
      <c r="C225" s="116"/>
      <c r="D225" s="141"/>
      <c r="E225" s="141">
        <v>122.0</v>
      </c>
      <c r="F225" s="128">
        <f t="shared" si="5"/>
        <v>82659.31727</v>
      </c>
      <c r="G225" s="148">
        <f t="shared" si="2"/>
        <v>47.52910743</v>
      </c>
      <c r="H225" s="149">
        <f t="shared" si="3"/>
        <v>8576.834952</v>
      </c>
      <c r="I225" s="150">
        <f t="shared" si="6"/>
        <v>2626.464202</v>
      </c>
      <c r="J225" s="35"/>
      <c r="K225" s="141"/>
      <c r="L225" s="141">
        <v>122.0</v>
      </c>
      <c r="M225" s="128">
        <f t="shared" si="7"/>
        <v>74082.48231</v>
      </c>
      <c r="N225" s="148">
        <f t="shared" si="8"/>
        <v>52.36081406</v>
      </c>
      <c r="O225" s="155">
        <f t="shared" si="9"/>
        <v>7711.882492</v>
      </c>
      <c r="P225" s="156">
        <f t="shared" ref="P225:Q225" si="130">P224+$L$7</f>
        <v>59556.65904</v>
      </c>
      <c r="Q225" s="157">
        <f t="shared" si="130"/>
        <v>59556.65904</v>
      </c>
      <c r="R225" s="147"/>
    </row>
    <row r="226" ht="14.25" customHeight="1" outlineLevel="1">
      <c r="A226" s="35"/>
      <c r="B226" s="116"/>
      <c r="C226" s="116"/>
      <c r="D226" s="141"/>
      <c r="E226" s="141">
        <v>123.0</v>
      </c>
      <c r="F226" s="128">
        <f t="shared" si="5"/>
        <v>83569.81674</v>
      </c>
      <c r="G226" s="148">
        <f t="shared" si="2"/>
        <v>48.05264462</v>
      </c>
      <c r="H226" s="149">
        <f t="shared" si="3"/>
        <v>8630.18865</v>
      </c>
      <c r="I226" s="150">
        <f t="shared" si="6"/>
        <v>2674.516847</v>
      </c>
      <c r="J226" s="35"/>
      <c r="K226" s="141"/>
      <c r="L226" s="141">
        <v>123.0</v>
      </c>
      <c r="M226" s="128">
        <f t="shared" si="7"/>
        <v>74939.62809</v>
      </c>
      <c r="N226" s="148">
        <f t="shared" si="8"/>
        <v>52.85367288</v>
      </c>
      <c r="O226" s="155">
        <f t="shared" si="9"/>
        <v>7764.736165</v>
      </c>
      <c r="P226" s="156">
        <f t="shared" ref="P226:Q226" si="131">P225+$L$7</f>
        <v>60044.82837</v>
      </c>
      <c r="Q226" s="157">
        <f t="shared" si="131"/>
        <v>60044.82837</v>
      </c>
      <c r="R226" s="147"/>
    </row>
    <row r="227" ht="14.25" customHeight="1" outlineLevel="1">
      <c r="A227" s="35"/>
      <c r="B227" s="116"/>
      <c r="C227" s="116"/>
      <c r="D227" s="141"/>
      <c r="E227" s="141">
        <v>124.0</v>
      </c>
      <c r="F227" s="128">
        <f t="shared" si="5"/>
        <v>84484.93781</v>
      </c>
      <c r="G227" s="148">
        <f t="shared" si="2"/>
        <v>48.57883924</v>
      </c>
      <c r="H227" s="149">
        <f t="shared" si="3"/>
        <v>8683.813165</v>
      </c>
      <c r="I227" s="150">
        <f t="shared" si="6"/>
        <v>2723.095686</v>
      </c>
      <c r="J227" s="35"/>
      <c r="K227" s="141"/>
      <c r="L227" s="141">
        <v>124.0</v>
      </c>
      <c r="M227" s="128">
        <f t="shared" si="7"/>
        <v>75801.12464</v>
      </c>
      <c r="N227" s="148">
        <f t="shared" si="8"/>
        <v>53.3490334</v>
      </c>
      <c r="O227" s="155">
        <f t="shared" si="9"/>
        <v>7818.085198</v>
      </c>
      <c r="P227" s="156">
        <f t="shared" ref="P227:Q227" si="132">P226+$L$7</f>
        <v>60532.99771</v>
      </c>
      <c r="Q227" s="157">
        <f t="shared" si="132"/>
        <v>60532.99771</v>
      </c>
      <c r="R227" s="147"/>
    </row>
    <row r="228" ht="14.25" customHeight="1" outlineLevel="1">
      <c r="A228" s="35"/>
      <c r="B228" s="116"/>
      <c r="C228" s="116"/>
      <c r="D228" s="141"/>
      <c r="E228" s="141">
        <v>125.0</v>
      </c>
      <c r="F228" s="128">
        <f t="shared" si="5"/>
        <v>85404.70393</v>
      </c>
      <c r="G228" s="148">
        <f t="shared" si="2"/>
        <v>49.10770476</v>
      </c>
      <c r="H228" s="149">
        <f t="shared" si="3"/>
        <v>8737.709873</v>
      </c>
      <c r="I228" s="150">
        <f t="shared" si="6"/>
        <v>2772.203391</v>
      </c>
      <c r="J228" s="35"/>
      <c r="K228" s="141"/>
      <c r="L228" s="141">
        <v>125.0</v>
      </c>
      <c r="M228" s="128">
        <f t="shared" si="7"/>
        <v>76666.99406</v>
      </c>
      <c r="N228" s="148">
        <f t="shared" si="8"/>
        <v>53.84690831</v>
      </c>
      <c r="O228" s="155">
        <f t="shared" si="9"/>
        <v>7871.932107</v>
      </c>
      <c r="P228" s="156">
        <f t="shared" ref="P228:Q228" si="133">P227+$L$7</f>
        <v>61021.16704</v>
      </c>
      <c r="Q228" s="157">
        <f t="shared" si="133"/>
        <v>61021.16704</v>
      </c>
      <c r="R228" s="147"/>
    </row>
    <row r="229" ht="14.25" customHeight="1" outlineLevel="1">
      <c r="A229" s="35"/>
      <c r="B229" s="116"/>
      <c r="C229" s="116"/>
      <c r="D229" s="141"/>
      <c r="E229" s="141">
        <v>126.0</v>
      </c>
      <c r="F229" s="128">
        <f t="shared" si="5"/>
        <v>86329.1387</v>
      </c>
      <c r="G229" s="148">
        <f t="shared" si="2"/>
        <v>49.63925475</v>
      </c>
      <c r="H229" s="149">
        <f t="shared" si="3"/>
        <v>8791.880154</v>
      </c>
      <c r="I229" s="150">
        <f t="shared" si="6"/>
        <v>2821.842645</v>
      </c>
      <c r="J229" s="35"/>
      <c r="K229" s="141"/>
      <c r="L229" s="141">
        <v>126.0</v>
      </c>
      <c r="M229" s="128">
        <f t="shared" si="7"/>
        <v>77537.25854</v>
      </c>
      <c r="N229" s="148">
        <f t="shared" si="8"/>
        <v>54.34731039</v>
      </c>
      <c r="O229" s="155">
        <f t="shared" si="9"/>
        <v>7926.279417</v>
      </c>
      <c r="P229" s="156">
        <f t="shared" ref="P229:Q229" si="134">P228+$L$7</f>
        <v>61509.33638</v>
      </c>
      <c r="Q229" s="157">
        <f t="shared" si="134"/>
        <v>61509.33638</v>
      </c>
      <c r="R229" s="147"/>
    </row>
    <row r="230" ht="14.25" customHeight="1" outlineLevel="1">
      <c r="A230" s="35"/>
      <c r="B230" s="116"/>
      <c r="C230" s="116"/>
      <c r="D230" s="141"/>
      <c r="E230" s="141">
        <v>127.0</v>
      </c>
      <c r="F230" s="128">
        <f t="shared" si="5"/>
        <v>87258.26579</v>
      </c>
      <c r="G230" s="148">
        <f t="shared" si="2"/>
        <v>50.17350283</v>
      </c>
      <c r="H230" s="149">
        <f t="shared" si="3"/>
        <v>8846.325399</v>
      </c>
      <c r="I230" s="150">
        <f t="shared" si="6"/>
        <v>2872.016148</v>
      </c>
      <c r="J230" s="35"/>
      <c r="K230" s="141"/>
      <c r="L230" s="141">
        <v>127.0</v>
      </c>
      <c r="M230" s="128">
        <f t="shared" si="7"/>
        <v>78411.94039</v>
      </c>
      <c r="N230" s="148">
        <f t="shared" si="8"/>
        <v>54.85025245</v>
      </c>
      <c r="O230" s="155">
        <f t="shared" si="9"/>
        <v>7981.129669</v>
      </c>
      <c r="P230" s="156">
        <f t="shared" ref="P230:Q230" si="135">P229+$L$7</f>
        <v>61997.50572</v>
      </c>
      <c r="Q230" s="157">
        <f t="shared" si="135"/>
        <v>61997.50572</v>
      </c>
      <c r="R230" s="147"/>
    </row>
    <row r="231" ht="14.25" customHeight="1" outlineLevel="1">
      <c r="A231" s="35"/>
      <c r="B231" s="116"/>
      <c r="C231" s="116"/>
      <c r="D231" s="141"/>
      <c r="E231" s="141">
        <v>128.0</v>
      </c>
      <c r="F231" s="128">
        <f t="shared" si="5"/>
        <v>88192.10904</v>
      </c>
      <c r="G231" s="148">
        <f t="shared" si="2"/>
        <v>50.7104627</v>
      </c>
      <c r="H231" s="149">
        <f t="shared" si="3"/>
        <v>8901.047001</v>
      </c>
      <c r="I231" s="150">
        <f t="shared" si="6"/>
        <v>2922.726611</v>
      </c>
      <c r="J231" s="35"/>
      <c r="K231" s="141"/>
      <c r="L231" s="141">
        <v>128.0</v>
      </c>
      <c r="M231" s="128">
        <f t="shared" si="7"/>
        <v>79291.06204</v>
      </c>
      <c r="N231" s="148">
        <f t="shared" si="8"/>
        <v>55.3557474</v>
      </c>
      <c r="O231" s="155">
        <f t="shared" si="9"/>
        <v>8036.485417</v>
      </c>
      <c r="P231" s="156">
        <f t="shared" ref="P231:Q231" si="136">P230+$L$7</f>
        <v>62485.67505</v>
      </c>
      <c r="Q231" s="157">
        <f t="shared" si="136"/>
        <v>62485.67505</v>
      </c>
      <c r="R231" s="147"/>
    </row>
    <row r="232" ht="14.25" customHeight="1" outlineLevel="1">
      <c r="A232" s="35"/>
      <c r="B232" s="116"/>
      <c r="C232" s="116"/>
      <c r="D232" s="141"/>
      <c r="E232" s="141">
        <v>129.0</v>
      </c>
      <c r="F232" s="128">
        <f t="shared" si="5"/>
        <v>89130.69237</v>
      </c>
      <c r="G232" s="148">
        <f t="shared" si="2"/>
        <v>51.25014811</v>
      </c>
      <c r="H232" s="149">
        <f t="shared" si="3"/>
        <v>8956.046365</v>
      </c>
      <c r="I232" s="150">
        <f t="shared" si="6"/>
        <v>2973.976759</v>
      </c>
      <c r="J232" s="35"/>
      <c r="K232" s="141"/>
      <c r="L232" s="141">
        <v>129.0</v>
      </c>
      <c r="M232" s="128">
        <f t="shared" si="7"/>
        <v>80174.64601</v>
      </c>
      <c r="N232" s="148">
        <f t="shared" si="8"/>
        <v>55.86380818</v>
      </c>
      <c r="O232" s="155">
        <f t="shared" si="9"/>
        <v>8092.349225</v>
      </c>
      <c r="P232" s="156">
        <f t="shared" ref="P232:Q232" si="137">P231+$L$7</f>
        <v>62973.84439</v>
      </c>
      <c r="Q232" s="157">
        <f t="shared" si="137"/>
        <v>62973.84439</v>
      </c>
      <c r="R232" s="147"/>
    </row>
    <row r="233" ht="14.25" customHeight="1" outlineLevel="1">
      <c r="A233" s="35"/>
      <c r="B233" s="116"/>
      <c r="C233" s="116"/>
      <c r="D233" s="141"/>
      <c r="E233" s="141">
        <v>130.0</v>
      </c>
      <c r="F233" s="128">
        <f t="shared" si="5"/>
        <v>90074.03986</v>
      </c>
      <c r="G233" s="148">
        <f t="shared" si="2"/>
        <v>51.79257292</v>
      </c>
      <c r="H233" s="149">
        <f t="shared" si="3"/>
        <v>9011.3249</v>
      </c>
      <c r="I233" s="150">
        <f t="shared" si="6"/>
        <v>3025.769332</v>
      </c>
      <c r="J233" s="35"/>
      <c r="K233" s="141"/>
      <c r="L233" s="141">
        <v>130.0</v>
      </c>
      <c r="M233" s="128">
        <f t="shared" si="7"/>
        <v>81062.71496</v>
      </c>
      <c r="N233" s="148">
        <f t="shared" si="8"/>
        <v>56.37444783</v>
      </c>
      <c r="O233" s="155">
        <f t="shared" si="9"/>
        <v>8148.723673</v>
      </c>
      <c r="P233" s="156">
        <f t="shared" ref="P233:Q233" si="138">P232+$L$7</f>
        <v>63462.01373</v>
      </c>
      <c r="Q233" s="157">
        <f t="shared" si="138"/>
        <v>63462.01373</v>
      </c>
      <c r="R233" s="147"/>
    </row>
    <row r="234" ht="14.25" customHeight="1" outlineLevel="1">
      <c r="A234" s="35"/>
      <c r="B234" s="116"/>
      <c r="C234" s="116"/>
      <c r="D234" s="141"/>
      <c r="E234" s="141">
        <v>131.0</v>
      </c>
      <c r="F234" s="128">
        <f t="shared" si="5"/>
        <v>91022.17568</v>
      </c>
      <c r="G234" s="148">
        <f t="shared" si="2"/>
        <v>52.33775101</v>
      </c>
      <c r="H234" s="149">
        <f t="shared" si="3"/>
        <v>9066.884022</v>
      </c>
      <c r="I234" s="150">
        <f t="shared" si="6"/>
        <v>3078.107083</v>
      </c>
      <c r="J234" s="35"/>
      <c r="K234" s="141"/>
      <c r="L234" s="141">
        <v>131.0</v>
      </c>
      <c r="M234" s="128">
        <f t="shared" si="7"/>
        <v>81955.29166</v>
      </c>
      <c r="N234" s="148">
        <f t="shared" si="8"/>
        <v>56.88767943</v>
      </c>
      <c r="O234" s="155">
        <f t="shared" si="9"/>
        <v>8205.611352</v>
      </c>
      <c r="P234" s="156">
        <f t="shared" ref="P234:Q234" si="139">P233+$L$7</f>
        <v>63950.18306</v>
      </c>
      <c r="Q234" s="157">
        <f t="shared" si="139"/>
        <v>63950.18306</v>
      </c>
      <c r="R234" s="147"/>
    </row>
    <row r="235" ht="14.25" customHeight="1" outlineLevel="1">
      <c r="A235" s="35"/>
      <c r="B235" s="116"/>
      <c r="C235" s="116"/>
      <c r="D235" s="141">
        <v>11.0</v>
      </c>
      <c r="E235" s="141">
        <v>132.0</v>
      </c>
      <c r="F235" s="128">
        <f t="shared" si="5"/>
        <v>91975.12413</v>
      </c>
      <c r="G235" s="148">
        <f t="shared" si="2"/>
        <v>52.88569638</v>
      </c>
      <c r="H235" s="149">
        <f t="shared" si="3"/>
        <v>9122.725157</v>
      </c>
      <c r="I235" s="150">
        <f t="shared" si="6"/>
        <v>3130.992779</v>
      </c>
      <c r="J235" s="35"/>
      <c r="K235" s="141">
        <v>11.0</v>
      </c>
      <c r="L235" s="141">
        <v>132.0</v>
      </c>
      <c r="M235" s="128">
        <f t="shared" si="7"/>
        <v>82852.39898</v>
      </c>
      <c r="N235" s="148">
        <f t="shared" si="8"/>
        <v>57.40351614</v>
      </c>
      <c r="O235" s="155">
        <f t="shared" si="9"/>
        <v>8263.014868</v>
      </c>
      <c r="P235" s="156">
        <f t="shared" ref="P235:Q235" si="140">P234+$L$7</f>
        <v>64438.3524</v>
      </c>
      <c r="Q235" s="157">
        <f t="shared" si="140"/>
        <v>64438.3524</v>
      </c>
      <c r="R235" s="147"/>
    </row>
    <row r="236" ht="14.25" customHeight="1" outlineLevel="1">
      <c r="A236" s="35"/>
      <c r="B236" s="116"/>
      <c r="C236" s="116"/>
      <c r="D236" s="141"/>
      <c r="E236" s="141">
        <v>133.0</v>
      </c>
      <c r="F236" s="128">
        <f t="shared" si="5"/>
        <v>92932.90965</v>
      </c>
      <c r="G236" s="148">
        <f t="shared" si="2"/>
        <v>53.43642305</v>
      </c>
      <c r="H236" s="149">
        <f t="shared" si="3"/>
        <v>9178.849736</v>
      </c>
      <c r="I236" s="150">
        <f t="shared" si="6"/>
        <v>3184.429202</v>
      </c>
      <c r="J236" s="35"/>
      <c r="K236" s="141"/>
      <c r="L236" s="141">
        <v>133.0</v>
      </c>
      <c r="M236" s="128">
        <f t="shared" si="7"/>
        <v>83754.05992</v>
      </c>
      <c r="N236" s="148">
        <f t="shared" si="8"/>
        <v>57.92197118</v>
      </c>
      <c r="O236" s="155">
        <f t="shared" si="9"/>
        <v>8320.93684</v>
      </c>
      <c r="P236" s="156">
        <f t="shared" ref="P236:Q236" si="141">P235+$L$7</f>
        <v>64926.52174</v>
      </c>
      <c r="Q236" s="157">
        <f t="shared" si="141"/>
        <v>64926.52174</v>
      </c>
      <c r="R236" s="147"/>
    </row>
    <row r="237" ht="14.25" customHeight="1" outlineLevel="1">
      <c r="A237" s="35"/>
      <c r="B237" s="116"/>
      <c r="C237" s="116"/>
      <c r="D237" s="141"/>
      <c r="E237" s="141">
        <v>134.0</v>
      </c>
      <c r="F237" s="128">
        <f t="shared" si="5"/>
        <v>93895.55679</v>
      </c>
      <c r="G237" s="148">
        <f t="shared" si="2"/>
        <v>53.98994516</v>
      </c>
      <c r="H237" s="149">
        <f t="shared" si="3"/>
        <v>9235.259197</v>
      </c>
      <c r="I237" s="150">
        <f t="shared" si="6"/>
        <v>3238.419147</v>
      </c>
      <c r="J237" s="35"/>
      <c r="K237" s="141"/>
      <c r="L237" s="141">
        <v>134.0</v>
      </c>
      <c r="M237" s="128">
        <f t="shared" si="7"/>
        <v>84660.2976</v>
      </c>
      <c r="N237" s="148">
        <f t="shared" si="8"/>
        <v>58.44305784</v>
      </c>
      <c r="O237" s="155">
        <f t="shared" si="9"/>
        <v>8379.379898</v>
      </c>
      <c r="P237" s="156">
        <f t="shared" ref="P237:Q237" si="142">P236+$L$7</f>
        <v>65414.69107</v>
      </c>
      <c r="Q237" s="157">
        <f t="shared" si="142"/>
        <v>65414.69107</v>
      </c>
      <c r="R237" s="147"/>
    </row>
    <row r="238" ht="14.25" customHeight="1" outlineLevel="1">
      <c r="A238" s="35"/>
      <c r="B238" s="116"/>
      <c r="C238" s="116"/>
      <c r="D238" s="141"/>
      <c r="E238" s="141">
        <v>135.0</v>
      </c>
      <c r="F238" s="128">
        <f t="shared" si="5"/>
        <v>94863.09023</v>
      </c>
      <c r="G238" s="148">
        <f t="shared" si="2"/>
        <v>54.54627688</v>
      </c>
      <c r="H238" s="149">
        <f t="shared" si="3"/>
        <v>9291.954986</v>
      </c>
      <c r="I238" s="150">
        <f t="shared" si="6"/>
        <v>3292.965424</v>
      </c>
      <c r="J238" s="35"/>
      <c r="K238" s="141"/>
      <c r="L238" s="141">
        <v>135.0</v>
      </c>
      <c r="M238" s="128">
        <f t="shared" si="7"/>
        <v>85571.13524</v>
      </c>
      <c r="N238" s="148">
        <f t="shared" si="8"/>
        <v>58.96678949</v>
      </c>
      <c r="O238" s="155">
        <f t="shared" si="9"/>
        <v>8438.346687</v>
      </c>
      <c r="P238" s="156">
        <f t="shared" ref="P238:Q238" si="143">P237+$L$7</f>
        <v>65902.86041</v>
      </c>
      <c r="Q238" s="157">
        <f t="shared" si="143"/>
        <v>65902.86041</v>
      </c>
      <c r="R238" s="147"/>
    </row>
    <row r="239" ht="14.25" customHeight="1" outlineLevel="1">
      <c r="A239" s="35"/>
      <c r="B239" s="116"/>
      <c r="C239" s="116"/>
      <c r="D239" s="141"/>
      <c r="E239" s="141">
        <v>136.0</v>
      </c>
      <c r="F239" s="128">
        <f t="shared" si="5"/>
        <v>95835.53476</v>
      </c>
      <c r="G239" s="148">
        <f t="shared" si="2"/>
        <v>55.10543249</v>
      </c>
      <c r="H239" s="149">
        <f t="shared" si="3"/>
        <v>9348.938557</v>
      </c>
      <c r="I239" s="150">
        <f t="shared" si="6"/>
        <v>3348.070857</v>
      </c>
      <c r="J239" s="35"/>
      <c r="K239" s="141"/>
      <c r="L239" s="141">
        <v>136.0</v>
      </c>
      <c r="M239" s="128">
        <f t="shared" si="7"/>
        <v>86486.5962</v>
      </c>
      <c r="N239" s="148">
        <f t="shared" si="8"/>
        <v>59.49317954</v>
      </c>
      <c r="O239" s="155">
        <f t="shared" si="9"/>
        <v>8497.839867</v>
      </c>
      <c r="P239" s="156">
        <f t="shared" ref="P239:Q239" si="144">P238+$L$7</f>
        <v>66391.02974</v>
      </c>
      <c r="Q239" s="157">
        <f t="shared" si="144"/>
        <v>66391.02974</v>
      </c>
      <c r="R239" s="147"/>
    </row>
    <row r="240" ht="14.25" customHeight="1" outlineLevel="1">
      <c r="A240" s="35"/>
      <c r="B240" s="116"/>
      <c r="C240" s="116"/>
      <c r="D240" s="141"/>
      <c r="E240" s="141">
        <v>137.0</v>
      </c>
      <c r="F240" s="128">
        <f t="shared" si="5"/>
        <v>96812.91532</v>
      </c>
      <c r="G240" s="148">
        <f t="shared" si="2"/>
        <v>55.66742631</v>
      </c>
      <c r="H240" s="149">
        <f t="shared" si="3"/>
        <v>9406.211371</v>
      </c>
      <c r="I240" s="150">
        <f t="shared" si="6"/>
        <v>3403.738283</v>
      </c>
      <c r="J240" s="35"/>
      <c r="K240" s="141"/>
      <c r="L240" s="141">
        <v>137.0</v>
      </c>
      <c r="M240" s="128">
        <f t="shared" si="7"/>
        <v>87406.70394</v>
      </c>
      <c r="N240" s="148">
        <f t="shared" si="8"/>
        <v>60.02224149</v>
      </c>
      <c r="O240" s="155">
        <f t="shared" si="9"/>
        <v>8557.862108</v>
      </c>
      <c r="P240" s="156">
        <f t="shared" ref="P240:Q240" si="145">P239+$L$7</f>
        <v>66879.19908</v>
      </c>
      <c r="Q240" s="157">
        <f t="shared" si="145"/>
        <v>66879.19908</v>
      </c>
      <c r="R240" s="147"/>
    </row>
    <row r="241" ht="14.25" customHeight="1" outlineLevel="1">
      <c r="A241" s="35"/>
      <c r="B241" s="116"/>
      <c r="C241" s="116"/>
      <c r="D241" s="141"/>
      <c r="E241" s="141">
        <v>138.0</v>
      </c>
      <c r="F241" s="128">
        <f t="shared" si="5"/>
        <v>97795.25695</v>
      </c>
      <c r="G241" s="148">
        <f t="shared" si="2"/>
        <v>56.23227275</v>
      </c>
      <c r="H241" s="149">
        <f t="shared" si="3"/>
        <v>9463.774896</v>
      </c>
      <c r="I241" s="150">
        <f t="shared" si="6"/>
        <v>3459.970556</v>
      </c>
      <c r="J241" s="35"/>
      <c r="K241" s="141"/>
      <c r="L241" s="141">
        <v>138.0</v>
      </c>
      <c r="M241" s="128">
        <f t="shared" si="7"/>
        <v>88331.48206</v>
      </c>
      <c r="N241" s="148">
        <f t="shared" si="8"/>
        <v>60.55398891</v>
      </c>
      <c r="O241" s="155">
        <f t="shared" si="9"/>
        <v>8618.416097</v>
      </c>
      <c r="P241" s="156">
        <f t="shared" ref="P241:Q241" si="146">P240+$L$7</f>
        <v>67367.36842</v>
      </c>
      <c r="Q241" s="157">
        <f t="shared" si="146"/>
        <v>67367.36842</v>
      </c>
      <c r="R241" s="147"/>
    </row>
    <row r="242" ht="14.25" customHeight="1" outlineLevel="1">
      <c r="A242" s="35"/>
      <c r="B242" s="116"/>
      <c r="C242" s="116"/>
      <c r="D242" s="141"/>
      <c r="E242" s="141">
        <v>139.0</v>
      </c>
      <c r="F242" s="128">
        <f t="shared" si="5"/>
        <v>98782.58485</v>
      </c>
      <c r="G242" s="148">
        <f t="shared" si="2"/>
        <v>56.79998629</v>
      </c>
      <c r="H242" s="149">
        <f t="shared" si="3"/>
        <v>9521.630607</v>
      </c>
      <c r="I242" s="150">
        <f t="shared" si="6"/>
        <v>3516.770542</v>
      </c>
      <c r="J242" s="35"/>
      <c r="K242" s="141"/>
      <c r="L242" s="141">
        <v>139.0</v>
      </c>
      <c r="M242" s="128">
        <f t="shared" si="7"/>
        <v>89260.95425</v>
      </c>
      <c r="N242" s="148">
        <f t="shared" si="8"/>
        <v>61.08843542</v>
      </c>
      <c r="O242" s="155">
        <f t="shared" si="9"/>
        <v>8679.504532</v>
      </c>
      <c r="P242" s="156">
        <f t="shared" ref="P242:Q242" si="147">P241+$L$7</f>
        <v>67855.53775</v>
      </c>
      <c r="Q242" s="157">
        <f t="shared" si="147"/>
        <v>67855.53775</v>
      </c>
      <c r="R242" s="147"/>
    </row>
    <row r="243" ht="14.25" customHeight="1" outlineLevel="1">
      <c r="A243" s="35"/>
      <c r="B243" s="116"/>
      <c r="C243" s="116"/>
      <c r="D243" s="141"/>
      <c r="E243" s="141">
        <v>140.0</v>
      </c>
      <c r="F243" s="128">
        <f t="shared" si="5"/>
        <v>99774.92432</v>
      </c>
      <c r="G243" s="148">
        <f t="shared" si="2"/>
        <v>57.37058149</v>
      </c>
      <c r="H243" s="149">
        <f t="shared" si="3"/>
        <v>9579.779987</v>
      </c>
      <c r="I243" s="150">
        <f t="shared" si="6"/>
        <v>3574.141124</v>
      </c>
      <c r="J243" s="35"/>
      <c r="K243" s="141"/>
      <c r="L243" s="141">
        <v>140.0</v>
      </c>
      <c r="M243" s="128">
        <f t="shared" si="7"/>
        <v>90195.14434</v>
      </c>
      <c r="N243" s="148">
        <f t="shared" si="8"/>
        <v>61.62559472</v>
      </c>
      <c r="O243" s="155">
        <f t="shared" si="9"/>
        <v>8741.130127</v>
      </c>
      <c r="P243" s="156">
        <f t="shared" ref="P243:Q243" si="148">P242+$L$7</f>
        <v>68343.70709</v>
      </c>
      <c r="Q243" s="157">
        <f t="shared" si="148"/>
        <v>68343.70709</v>
      </c>
      <c r="R243" s="147"/>
    </row>
    <row r="244" ht="14.25" customHeight="1" outlineLevel="1">
      <c r="A244" s="35"/>
      <c r="B244" s="116"/>
      <c r="C244" s="116"/>
      <c r="D244" s="141"/>
      <c r="E244" s="141">
        <v>141.0</v>
      </c>
      <c r="F244" s="128">
        <f t="shared" si="5"/>
        <v>100772.3008</v>
      </c>
      <c r="G244" s="148">
        <f t="shared" si="2"/>
        <v>57.94407296</v>
      </c>
      <c r="H244" s="149">
        <f t="shared" si="3"/>
        <v>9638.224528</v>
      </c>
      <c r="I244" s="150">
        <f t="shared" si="6"/>
        <v>3632.085197</v>
      </c>
      <c r="J244" s="35"/>
      <c r="K244" s="141"/>
      <c r="L244" s="141">
        <v>141.0</v>
      </c>
      <c r="M244" s="128">
        <f t="shared" si="7"/>
        <v>91134.07628</v>
      </c>
      <c r="N244" s="148">
        <f t="shared" si="8"/>
        <v>62.16548059</v>
      </c>
      <c r="O244" s="155">
        <f t="shared" si="9"/>
        <v>8803.295608</v>
      </c>
      <c r="P244" s="156">
        <f t="shared" ref="P244:Q244" si="149">P243+$L$7</f>
        <v>68831.87643</v>
      </c>
      <c r="Q244" s="157">
        <f t="shared" si="149"/>
        <v>68831.87643</v>
      </c>
      <c r="R244" s="147"/>
    </row>
    <row r="245" ht="14.25" customHeight="1" outlineLevel="1">
      <c r="A245" s="35"/>
      <c r="B245" s="116"/>
      <c r="C245" s="116"/>
      <c r="D245" s="141"/>
      <c r="E245" s="141">
        <v>142.0</v>
      </c>
      <c r="F245" s="128">
        <f t="shared" si="5"/>
        <v>101774.7399</v>
      </c>
      <c r="G245" s="148">
        <f t="shared" si="2"/>
        <v>58.52047542</v>
      </c>
      <c r="H245" s="149">
        <f t="shared" si="3"/>
        <v>9696.965726</v>
      </c>
      <c r="I245" s="150">
        <f t="shared" si="6"/>
        <v>3690.605672</v>
      </c>
      <c r="J245" s="35"/>
      <c r="K245" s="141"/>
      <c r="L245" s="141">
        <v>142.0</v>
      </c>
      <c r="M245" s="128">
        <f t="shared" si="7"/>
        <v>92077.77414</v>
      </c>
      <c r="N245" s="148">
        <f t="shared" si="8"/>
        <v>62.70810686</v>
      </c>
      <c r="O245" s="155">
        <f t="shared" si="9"/>
        <v>8866.003715</v>
      </c>
      <c r="P245" s="156">
        <f t="shared" ref="P245:Q245" si="150">P244+$L$7</f>
        <v>69320.04576</v>
      </c>
      <c r="Q245" s="157">
        <f t="shared" si="150"/>
        <v>69320.04576</v>
      </c>
      <c r="R245" s="147"/>
    </row>
    <row r="246" ht="14.25" customHeight="1" outlineLevel="1">
      <c r="A246" s="35"/>
      <c r="B246" s="116"/>
      <c r="C246" s="116"/>
      <c r="D246" s="141"/>
      <c r="E246" s="141">
        <v>143.0</v>
      </c>
      <c r="F246" s="128">
        <f t="shared" si="5"/>
        <v>102782.2672</v>
      </c>
      <c r="G246" s="148">
        <f t="shared" si="2"/>
        <v>59.09980364</v>
      </c>
      <c r="H246" s="149">
        <f t="shared" si="3"/>
        <v>9756.005089</v>
      </c>
      <c r="I246" s="150">
        <f t="shared" si="6"/>
        <v>3749.705476</v>
      </c>
      <c r="J246" s="35"/>
      <c r="K246" s="141"/>
      <c r="L246" s="141">
        <v>143.0</v>
      </c>
      <c r="M246" s="128">
        <f t="shared" si="7"/>
        <v>93026.26211</v>
      </c>
      <c r="N246" s="148">
        <f t="shared" si="8"/>
        <v>63.25348744</v>
      </c>
      <c r="O246" s="155">
        <f t="shared" si="9"/>
        <v>8929.257202</v>
      </c>
      <c r="P246" s="156">
        <f t="shared" ref="P246:Q246" si="151">P245+$L$7</f>
        <v>69808.2151</v>
      </c>
      <c r="Q246" s="157">
        <f t="shared" si="151"/>
        <v>69808.2151</v>
      </c>
      <c r="R246" s="147"/>
    </row>
    <row r="247" ht="14.25" customHeight="1" outlineLevel="1">
      <c r="A247" s="35"/>
      <c r="B247" s="116"/>
      <c r="C247" s="116"/>
      <c r="D247" s="141">
        <v>12.0</v>
      </c>
      <c r="E247" s="141">
        <v>144.0</v>
      </c>
      <c r="F247" s="128">
        <f t="shared" si="5"/>
        <v>103794.9086</v>
      </c>
      <c r="G247" s="148">
        <f t="shared" si="2"/>
        <v>59.68207247</v>
      </c>
      <c r="H247" s="149">
        <f t="shared" si="3"/>
        <v>9815.34413</v>
      </c>
      <c r="I247" s="150">
        <f t="shared" si="6"/>
        <v>3809.387548</v>
      </c>
      <c r="J247" s="35"/>
      <c r="K247" s="141">
        <v>12.0</v>
      </c>
      <c r="L247" s="141">
        <v>144.0</v>
      </c>
      <c r="M247" s="128">
        <f t="shared" si="7"/>
        <v>93979.56451</v>
      </c>
      <c r="N247" s="148">
        <f t="shared" si="8"/>
        <v>63.80163632</v>
      </c>
      <c r="O247" s="155">
        <f t="shared" si="9"/>
        <v>8993.058838</v>
      </c>
      <c r="P247" s="156">
        <f t="shared" ref="P247:Q247" si="152">P246+$L$7</f>
        <v>70296.38444</v>
      </c>
      <c r="Q247" s="157">
        <f t="shared" si="152"/>
        <v>70296.38444</v>
      </c>
      <c r="R247" s="147"/>
    </row>
    <row r="248" ht="14.25" customHeight="1" outlineLevel="1">
      <c r="A248" s="35"/>
      <c r="B248" s="116"/>
      <c r="C248" s="116"/>
      <c r="D248" s="141"/>
      <c r="E248" s="141">
        <v>145.0</v>
      </c>
      <c r="F248" s="128">
        <f t="shared" si="5"/>
        <v>104812.6901</v>
      </c>
      <c r="G248" s="148">
        <f t="shared" si="2"/>
        <v>60.26729683</v>
      </c>
      <c r="H248" s="149">
        <f t="shared" si="3"/>
        <v>9874.984369</v>
      </c>
      <c r="I248" s="150">
        <f t="shared" si="6"/>
        <v>3869.654845</v>
      </c>
      <c r="J248" s="35"/>
      <c r="K248" s="141"/>
      <c r="L248" s="141">
        <v>145.0</v>
      </c>
      <c r="M248" s="128">
        <f t="shared" si="7"/>
        <v>94937.70576</v>
      </c>
      <c r="N248" s="148">
        <f t="shared" si="8"/>
        <v>64.35256754</v>
      </c>
      <c r="O248" s="155">
        <f t="shared" si="9"/>
        <v>9057.411406</v>
      </c>
      <c r="P248" s="156">
        <f t="shared" ref="P248:Q248" si="153">P247+$L$7</f>
        <v>70784.55377</v>
      </c>
      <c r="Q248" s="157">
        <f t="shared" si="153"/>
        <v>70784.55377</v>
      </c>
      <c r="R248" s="147"/>
    </row>
    <row r="249" ht="14.25" customHeight="1" outlineLevel="1">
      <c r="A249" s="35"/>
      <c r="B249" s="116"/>
      <c r="C249" s="116"/>
      <c r="D249" s="141"/>
      <c r="E249" s="141">
        <v>146.0</v>
      </c>
      <c r="F249" s="128">
        <f t="shared" si="5"/>
        <v>105835.6378</v>
      </c>
      <c r="G249" s="148">
        <f t="shared" si="2"/>
        <v>60.85549172</v>
      </c>
      <c r="H249" s="149">
        <f t="shared" si="3"/>
        <v>9934.927336</v>
      </c>
      <c r="I249" s="150">
        <f t="shared" si="6"/>
        <v>3930.510337</v>
      </c>
      <c r="J249" s="35"/>
      <c r="K249" s="141"/>
      <c r="L249" s="141">
        <v>146.0</v>
      </c>
      <c r="M249" s="128">
        <f t="shared" si="7"/>
        <v>95900.71044</v>
      </c>
      <c r="N249" s="148">
        <f t="shared" si="8"/>
        <v>64.90629523</v>
      </c>
      <c r="O249" s="155">
        <f t="shared" si="9"/>
        <v>9122.317701</v>
      </c>
      <c r="P249" s="156">
        <f t="shared" ref="P249:Q249" si="154">P248+$L$7</f>
        <v>71272.72311</v>
      </c>
      <c r="Q249" s="157">
        <f t="shared" si="154"/>
        <v>71272.72311</v>
      </c>
      <c r="R249" s="147"/>
    </row>
    <row r="250" ht="14.25" customHeight="1" outlineLevel="1">
      <c r="A250" s="35"/>
      <c r="B250" s="116"/>
      <c r="C250" s="116"/>
      <c r="D250" s="141"/>
      <c r="E250" s="141">
        <v>147.0</v>
      </c>
      <c r="F250" s="128">
        <f t="shared" si="5"/>
        <v>106863.7778</v>
      </c>
      <c r="G250" s="148">
        <f t="shared" si="2"/>
        <v>61.44667224</v>
      </c>
      <c r="H250" s="149">
        <f t="shared" si="3"/>
        <v>9995.174567</v>
      </c>
      <c r="I250" s="150">
        <f t="shared" si="6"/>
        <v>3991.957009</v>
      </c>
      <c r="J250" s="35"/>
      <c r="K250" s="141"/>
      <c r="L250" s="141">
        <v>147.0</v>
      </c>
      <c r="M250" s="128">
        <f t="shared" si="7"/>
        <v>96868.60324</v>
      </c>
      <c r="N250" s="148">
        <f t="shared" si="8"/>
        <v>65.46283359</v>
      </c>
      <c r="O250" s="155">
        <f t="shared" si="9"/>
        <v>9187.780535</v>
      </c>
      <c r="P250" s="156">
        <f t="shared" ref="P250:Q250" si="155">P249+$L$7</f>
        <v>71760.89244</v>
      </c>
      <c r="Q250" s="157">
        <f t="shared" si="155"/>
        <v>71760.89244</v>
      </c>
      <c r="R250" s="147"/>
    </row>
    <row r="251" ht="14.25" customHeight="1" outlineLevel="1">
      <c r="A251" s="35"/>
      <c r="B251" s="116"/>
      <c r="C251" s="116"/>
      <c r="D251" s="141"/>
      <c r="E251" s="141">
        <v>148.0</v>
      </c>
      <c r="F251" s="128">
        <f t="shared" si="5"/>
        <v>107897.1366</v>
      </c>
      <c r="G251" s="148">
        <f t="shared" si="2"/>
        <v>62.04085352</v>
      </c>
      <c r="H251" s="149">
        <f t="shared" si="3"/>
        <v>10055.72761</v>
      </c>
      <c r="I251" s="150">
        <f t="shared" si="6"/>
        <v>4053.997862</v>
      </c>
      <c r="J251" s="35"/>
      <c r="K251" s="141"/>
      <c r="L251" s="141">
        <v>148.0</v>
      </c>
      <c r="M251" s="128">
        <f t="shared" si="7"/>
        <v>97841.40895</v>
      </c>
      <c r="N251" s="148">
        <f t="shared" si="8"/>
        <v>66.02219687</v>
      </c>
      <c r="O251" s="155">
        <f t="shared" si="9"/>
        <v>9253.802732</v>
      </c>
      <c r="P251" s="156">
        <f t="shared" ref="P251:Q251" si="156">P250+$L$7</f>
        <v>72249.06178</v>
      </c>
      <c r="Q251" s="157">
        <f t="shared" si="156"/>
        <v>72249.06178</v>
      </c>
      <c r="R251" s="147"/>
    </row>
    <row r="252" ht="14.25" customHeight="1" outlineLevel="1">
      <c r="A252" s="35"/>
      <c r="B252" s="116"/>
      <c r="C252" s="116"/>
      <c r="D252" s="141"/>
      <c r="E252" s="141">
        <v>149.0</v>
      </c>
      <c r="F252" s="128">
        <f t="shared" si="5"/>
        <v>108935.7405</v>
      </c>
      <c r="G252" s="148">
        <f t="shared" si="2"/>
        <v>62.6380508</v>
      </c>
      <c r="H252" s="149">
        <f t="shared" si="3"/>
        <v>10116.58801</v>
      </c>
      <c r="I252" s="150">
        <f t="shared" si="6"/>
        <v>4116.635913</v>
      </c>
      <c r="J252" s="35"/>
      <c r="K252" s="141"/>
      <c r="L252" s="141">
        <v>149.0</v>
      </c>
      <c r="M252" s="128">
        <f t="shared" si="7"/>
        <v>98819.15252</v>
      </c>
      <c r="N252" s="148">
        <f t="shared" si="8"/>
        <v>66.58439943</v>
      </c>
      <c r="O252" s="155">
        <f t="shared" si="9"/>
        <v>9320.387131</v>
      </c>
      <c r="P252" s="156">
        <f t="shared" ref="P252:Q252" si="157">P251+$L$7</f>
        <v>72737.23112</v>
      </c>
      <c r="Q252" s="157">
        <f t="shared" si="157"/>
        <v>72737.23112</v>
      </c>
      <c r="R252" s="147"/>
    </row>
    <row r="253" ht="14.25" customHeight="1" outlineLevel="1">
      <c r="A253" s="35"/>
      <c r="B253" s="116"/>
      <c r="C253" s="116"/>
      <c r="D253" s="141"/>
      <c r="E253" s="141">
        <v>150.0</v>
      </c>
      <c r="F253" s="128">
        <f t="shared" si="5"/>
        <v>109979.6163</v>
      </c>
      <c r="G253" s="148">
        <f t="shared" si="2"/>
        <v>63.2382794</v>
      </c>
      <c r="H253" s="149">
        <f t="shared" si="3"/>
        <v>10177.75733</v>
      </c>
      <c r="I253" s="150">
        <f t="shared" si="6"/>
        <v>4179.874193</v>
      </c>
      <c r="J253" s="35"/>
      <c r="K253" s="141"/>
      <c r="L253" s="141">
        <v>150.0</v>
      </c>
      <c r="M253" s="128">
        <f t="shared" si="7"/>
        <v>99801.85902</v>
      </c>
      <c r="N253" s="148">
        <f t="shared" si="8"/>
        <v>67.14945566</v>
      </c>
      <c r="O253" s="155">
        <f t="shared" si="9"/>
        <v>9387.536587</v>
      </c>
      <c r="P253" s="156">
        <f t="shared" ref="P253:Q253" si="158">P252+$L$7</f>
        <v>73225.40045</v>
      </c>
      <c r="Q253" s="157">
        <f t="shared" si="158"/>
        <v>73225.40045</v>
      </c>
      <c r="R253" s="147"/>
    </row>
    <row r="254" ht="14.25" customHeight="1" outlineLevel="1">
      <c r="A254" s="35"/>
      <c r="B254" s="116"/>
      <c r="C254" s="116"/>
      <c r="D254" s="141"/>
      <c r="E254" s="141">
        <v>151.0</v>
      </c>
      <c r="F254" s="128">
        <f t="shared" si="5"/>
        <v>111028.7908</v>
      </c>
      <c r="G254" s="148">
        <f t="shared" si="2"/>
        <v>63.84155469</v>
      </c>
      <c r="H254" s="149">
        <f t="shared" si="3"/>
        <v>10239.23714</v>
      </c>
      <c r="I254" s="150">
        <f t="shared" si="6"/>
        <v>4243.715747</v>
      </c>
      <c r="J254" s="35"/>
      <c r="K254" s="141"/>
      <c r="L254" s="141">
        <v>151.0</v>
      </c>
      <c r="M254" s="128">
        <f t="shared" si="7"/>
        <v>100789.5536</v>
      </c>
      <c r="N254" s="148">
        <f t="shared" si="8"/>
        <v>67.71738006</v>
      </c>
      <c r="O254" s="155">
        <f t="shared" si="9"/>
        <v>9455.253967</v>
      </c>
      <c r="P254" s="156">
        <f t="shared" ref="P254:Q254" si="159">P253+$L$7</f>
        <v>73713.56979</v>
      </c>
      <c r="Q254" s="157">
        <f t="shared" si="159"/>
        <v>73713.56979</v>
      </c>
      <c r="R254" s="147"/>
    </row>
    <row r="255" ht="14.25" customHeight="1" outlineLevel="1">
      <c r="A255" s="35"/>
      <c r="B255" s="116"/>
      <c r="C255" s="116"/>
      <c r="D255" s="141"/>
      <c r="E255" s="141">
        <v>152.0</v>
      </c>
      <c r="F255" s="128">
        <f t="shared" si="5"/>
        <v>112083.2907</v>
      </c>
      <c r="G255" s="148">
        <f t="shared" si="2"/>
        <v>64.44789214</v>
      </c>
      <c r="H255" s="149">
        <f t="shared" si="3"/>
        <v>10301.02901</v>
      </c>
      <c r="I255" s="150">
        <f t="shared" si="6"/>
        <v>4308.16364</v>
      </c>
      <c r="J255" s="35"/>
      <c r="K255" s="141"/>
      <c r="L255" s="141">
        <v>152.0</v>
      </c>
      <c r="M255" s="128">
        <f t="shared" si="7"/>
        <v>101782.2617</v>
      </c>
      <c r="N255" s="148">
        <f t="shared" si="8"/>
        <v>68.28818719</v>
      </c>
      <c r="O255" s="155">
        <f t="shared" si="9"/>
        <v>9523.542154</v>
      </c>
      <c r="P255" s="156">
        <f t="shared" ref="P255:Q255" si="160">P254+$L$7</f>
        <v>74201.73913</v>
      </c>
      <c r="Q255" s="157">
        <f t="shared" si="160"/>
        <v>74201.73913</v>
      </c>
      <c r="R255" s="147"/>
    </row>
    <row r="256" ht="14.25" customHeight="1" outlineLevel="1">
      <c r="A256" s="35"/>
      <c r="B256" s="116"/>
      <c r="C256" s="116"/>
      <c r="D256" s="141"/>
      <c r="E256" s="141">
        <v>153.0</v>
      </c>
      <c r="F256" s="128">
        <f t="shared" si="5"/>
        <v>113143.1431</v>
      </c>
      <c r="G256" s="148">
        <f t="shared" si="2"/>
        <v>65.0573073</v>
      </c>
      <c r="H256" s="149">
        <f t="shared" si="3"/>
        <v>10363.13454</v>
      </c>
      <c r="I256" s="150">
        <f t="shared" si="6"/>
        <v>4373.220947</v>
      </c>
      <c r="J256" s="35"/>
      <c r="K256" s="141"/>
      <c r="L256" s="141">
        <v>153.0</v>
      </c>
      <c r="M256" s="128">
        <f t="shared" si="7"/>
        <v>102780.0086</v>
      </c>
      <c r="N256" s="148">
        <f t="shared" si="8"/>
        <v>68.86189167</v>
      </c>
      <c r="O256" s="155">
        <f t="shared" si="9"/>
        <v>9592.404046</v>
      </c>
      <c r="P256" s="156">
        <f t="shared" ref="P256:Q256" si="161">P255+$L$7</f>
        <v>74689.90846</v>
      </c>
      <c r="Q256" s="157">
        <f t="shared" si="161"/>
        <v>74689.90846</v>
      </c>
      <c r="R256" s="147"/>
    </row>
    <row r="257" ht="14.25" customHeight="1" outlineLevel="1">
      <c r="A257" s="35"/>
      <c r="B257" s="116"/>
      <c r="C257" s="116"/>
      <c r="D257" s="141"/>
      <c r="E257" s="141">
        <v>154.0</v>
      </c>
      <c r="F257" s="128">
        <f t="shared" si="5"/>
        <v>114208.3753</v>
      </c>
      <c r="G257" s="148">
        <f t="shared" si="2"/>
        <v>65.66981578</v>
      </c>
      <c r="H257" s="149">
        <f t="shared" si="3"/>
        <v>10425.5553</v>
      </c>
      <c r="I257" s="150">
        <f t="shared" si="6"/>
        <v>4438.890763</v>
      </c>
      <c r="J257" s="35"/>
      <c r="K257" s="141"/>
      <c r="L257" s="141">
        <v>154.0</v>
      </c>
      <c r="M257" s="128">
        <f t="shared" si="7"/>
        <v>103782.82</v>
      </c>
      <c r="N257" s="148">
        <f t="shared" si="8"/>
        <v>69.43850821</v>
      </c>
      <c r="O257" s="155">
        <f t="shared" si="9"/>
        <v>9661.842554</v>
      </c>
      <c r="P257" s="156">
        <f t="shared" ref="P257:Q257" si="162">P256+$L$7</f>
        <v>75178.0778</v>
      </c>
      <c r="Q257" s="157">
        <f t="shared" si="162"/>
        <v>75178.0778</v>
      </c>
      <c r="R257" s="147"/>
    </row>
    <row r="258" ht="14.25" customHeight="1" outlineLevel="1">
      <c r="A258" s="35"/>
      <c r="B258" s="116"/>
      <c r="C258" s="116"/>
      <c r="D258" s="141"/>
      <c r="E258" s="141">
        <v>155.0</v>
      </c>
      <c r="F258" s="128">
        <f t="shared" si="5"/>
        <v>115279.0144</v>
      </c>
      <c r="G258" s="148">
        <f t="shared" si="2"/>
        <v>66.2854333</v>
      </c>
      <c r="H258" s="149">
        <f t="shared" si="3"/>
        <v>10488.29291</v>
      </c>
      <c r="I258" s="150">
        <f t="shared" si="6"/>
        <v>4505.176196</v>
      </c>
      <c r="J258" s="35"/>
      <c r="K258" s="141"/>
      <c r="L258" s="141">
        <v>155.0</v>
      </c>
      <c r="M258" s="128">
        <f t="shared" si="7"/>
        <v>104790.7215</v>
      </c>
      <c r="N258" s="148">
        <f t="shared" si="8"/>
        <v>70.0180516</v>
      </c>
      <c r="O258" s="155">
        <f t="shared" si="9"/>
        <v>9731.860605</v>
      </c>
      <c r="P258" s="156">
        <f t="shared" ref="P258:Q258" si="163">P257+$L$7</f>
        <v>75666.24714</v>
      </c>
      <c r="Q258" s="157">
        <f t="shared" si="163"/>
        <v>75666.24714</v>
      </c>
      <c r="R258" s="147"/>
    </row>
    <row r="259" ht="14.25" customHeight="1" outlineLevel="1">
      <c r="A259" s="35"/>
      <c r="B259" s="116"/>
      <c r="C259" s="116"/>
      <c r="D259" s="141">
        <v>13.0</v>
      </c>
      <c r="E259" s="141">
        <v>156.0</v>
      </c>
      <c r="F259" s="128">
        <f t="shared" si="5"/>
        <v>116355.088</v>
      </c>
      <c r="G259" s="148">
        <f t="shared" si="2"/>
        <v>66.90417562</v>
      </c>
      <c r="H259" s="149">
        <f t="shared" si="3"/>
        <v>10551.34897</v>
      </c>
      <c r="I259" s="150">
        <f t="shared" si="6"/>
        <v>4572.080372</v>
      </c>
      <c r="J259" s="35"/>
      <c r="K259" s="141">
        <v>13.0</v>
      </c>
      <c r="L259" s="141">
        <v>156.0</v>
      </c>
      <c r="M259" s="128">
        <f t="shared" si="7"/>
        <v>105803.7391</v>
      </c>
      <c r="N259" s="148">
        <f t="shared" si="8"/>
        <v>70.60053669</v>
      </c>
      <c r="O259" s="155">
        <f t="shared" si="9"/>
        <v>9802.461142</v>
      </c>
      <c r="P259" s="156">
        <f t="shared" ref="P259:Q259" si="164">P258+$L$7</f>
        <v>76154.41647</v>
      </c>
      <c r="Q259" s="157">
        <f t="shared" si="164"/>
        <v>76154.41647</v>
      </c>
      <c r="R259" s="147"/>
    </row>
    <row r="260" ht="14.25" customHeight="1" outlineLevel="1">
      <c r="A260" s="35"/>
      <c r="B260" s="116"/>
      <c r="C260" s="116"/>
      <c r="D260" s="141"/>
      <c r="E260" s="141">
        <v>157.0</v>
      </c>
      <c r="F260" s="128">
        <f t="shared" si="5"/>
        <v>117436.6237</v>
      </c>
      <c r="G260" s="148">
        <f t="shared" si="2"/>
        <v>67.52605861</v>
      </c>
      <c r="H260" s="149">
        <f t="shared" si="3"/>
        <v>10614.72509</v>
      </c>
      <c r="I260" s="150">
        <f t="shared" si="6"/>
        <v>4639.60643</v>
      </c>
      <c r="J260" s="35"/>
      <c r="K260" s="141"/>
      <c r="L260" s="141">
        <v>157.0</v>
      </c>
      <c r="M260" s="128">
        <f t="shared" si="7"/>
        <v>106821.8986</v>
      </c>
      <c r="N260" s="148">
        <f t="shared" si="8"/>
        <v>71.18597841</v>
      </c>
      <c r="O260" s="155">
        <f t="shared" si="9"/>
        <v>9873.64712</v>
      </c>
      <c r="P260" s="156">
        <f t="shared" ref="P260:Q260" si="165">P259+$L$7</f>
        <v>76642.58581</v>
      </c>
      <c r="Q260" s="157">
        <f t="shared" si="165"/>
        <v>76642.58581</v>
      </c>
      <c r="R260" s="147"/>
    </row>
    <row r="261" ht="14.25" customHeight="1" outlineLevel="1">
      <c r="A261" s="35"/>
      <c r="B261" s="116"/>
      <c r="C261" s="116"/>
      <c r="D261" s="141"/>
      <c r="E261" s="141">
        <v>158.0</v>
      </c>
      <c r="F261" s="128">
        <f t="shared" si="5"/>
        <v>118523.6491</v>
      </c>
      <c r="G261" s="148">
        <f t="shared" si="2"/>
        <v>68.15109822</v>
      </c>
      <c r="H261" s="149">
        <f t="shared" si="3"/>
        <v>10678.4229</v>
      </c>
      <c r="I261" s="150">
        <f t="shared" si="6"/>
        <v>4707.757528</v>
      </c>
      <c r="J261" s="35"/>
      <c r="K261" s="141"/>
      <c r="L261" s="141">
        <v>158.0</v>
      </c>
      <c r="M261" s="128">
        <f t="shared" si="7"/>
        <v>107845.2262</v>
      </c>
      <c r="N261" s="148">
        <f t="shared" si="8"/>
        <v>71.77439178</v>
      </c>
      <c r="O261" s="155">
        <f t="shared" si="9"/>
        <v>9945.421512</v>
      </c>
      <c r="P261" s="156">
        <f t="shared" ref="P261:Q261" si="166">P260+$L$7</f>
        <v>77130.75514</v>
      </c>
      <c r="Q261" s="157">
        <f t="shared" si="166"/>
        <v>77130.75514</v>
      </c>
      <c r="R261" s="147"/>
    </row>
    <row r="262" ht="14.25" customHeight="1" outlineLevel="1">
      <c r="A262" s="35"/>
      <c r="B262" s="116"/>
      <c r="C262" s="116"/>
      <c r="D262" s="141"/>
      <c r="E262" s="141">
        <v>159.0</v>
      </c>
      <c r="F262" s="128">
        <f t="shared" si="5"/>
        <v>119616.1921</v>
      </c>
      <c r="G262" s="148">
        <f t="shared" si="2"/>
        <v>68.77931046</v>
      </c>
      <c r="H262" s="149">
        <f t="shared" si="3"/>
        <v>10742.44404</v>
      </c>
      <c r="I262" s="150">
        <f t="shared" si="6"/>
        <v>4776.536839</v>
      </c>
      <c r="J262" s="35"/>
      <c r="K262" s="141"/>
      <c r="L262" s="141">
        <v>159.0</v>
      </c>
      <c r="M262" s="128">
        <f t="shared" si="7"/>
        <v>108873.7481</v>
      </c>
      <c r="N262" s="148">
        <f t="shared" si="8"/>
        <v>72.36579186</v>
      </c>
      <c r="O262" s="155">
        <f t="shared" si="9"/>
        <v>10017.7873</v>
      </c>
      <c r="P262" s="156">
        <f t="shared" ref="P262:Q262" si="167">P261+$L$7</f>
        <v>77618.92448</v>
      </c>
      <c r="Q262" s="157">
        <f t="shared" si="167"/>
        <v>77618.92448</v>
      </c>
      <c r="R262" s="147"/>
    </row>
    <row r="263" ht="14.25" customHeight="1" outlineLevel="1">
      <c r="A263" s="35"/>
      <c r="B263" s="116"/>
      <c r="C263" s="116"/>
      <c r="D263" s="141"/>
      <c r="E263" s="141">
        <v>160.0</v>
      </c>
      <c r="F263" s="128">
        <f t="shared" si="5"/>
        <v>120714.2808</v>
      </c>
      <c r="G263" s="148">
        <f t="shared" si="2"/>
        <v>69.41071143</v>
      </c>
      <c r="H263" s="149">
        <f t="shared" si="3"/>
        <v>10806.79014</v>
      </c>
      <c r="I263" s="150">
        <f t="shared" si="6"/>
        <v>4845.94755</v>
      </c>
      <c r="J263" s="35"/>
      <c r="K263" s="141"/>
      <c r="L263" s="141">
        <v>160.0</v>
      </c>
      <c r="M263" s="128">
        <f t="shared" si="7"/>
        <v>109907.4906</v>
      </c>
      <c r="N263" s="148">
        <f t="shared" si="8"/>
        <v>72.96019383</v>
      </c>
      <c r="O263" s="155">
        <f t="shared" si="9"/>
        <v>10090.7475</v>
      </c>
      <c r="P263" s="156">
        <f t="shared" ref="P263:Q263" si="168">P262+$L$7</f>
        <v>78107.09382</v>
      </c>
      <c r="Q263" s="157">
        <f t="shared" si="168"/>
        <v>78107.09382</v>
      </c>
      <c r="R263" s="147"/>
    </row>
    <row r="264" ht="14.25" customHeight="1" outlineLevel="1">
      <c r="A264" s="35"/>
      <c r="B264" s="116"/>
      <c r="C264" s="116"/>
      <c r="D264" s="141"/>
      <c r="E264" s="141">
        <v>161.0</v>
      </c>
      <c r="F264" s="128">
        <f t="shared" si="5"/>
        <v>121817.9432</v>
      </c>
      <c r="G264" s="148">
        <f t="shared" si="2"/>
        <v>70.04531734</v>
      </c>
      <c r="H264" s="149">
        <f t="shared" si="3"/>
        <v>10871.46285</v>
      </c>
      <c r="I264" s="150">
        <f t="shared" si="6"/>
        <v>4915.992868</v>
      </c>
      <c r="J264" s="35"/>
      <c r="K264" s="141"/>
      <c r="L264" s="141">
        <v>161.0</v>
      </c>
      <c r="M264" s="128">
        <f t="shared" si="7"/>
        <v>110946.4803</v>
      </c>
      <c r="N264" s="148">
        <f t="shared" si="8"/>
        <v>73.55761293</v>
      </c>
      <c r="O264" s="155">
        <f t="shared" si="9"/>
        <v>10164.30511</v>
      </c>
      <c r="P264" s="156">
        <f t="shared" ref="P264:Q264" si="169">P263+$L$7</f>
        <v>78595.26315</v>
      </c>
      <c r="Q264" s="157">
        <f t="shared" si="169"/>
        <v>78595.26315</v>
      </c>
      <c r="R264" s="147"/>
    </row>
    <row r="265" ht="14.25" customHeight="1" outlineLevel="1">
      <c r="A265" s="35"/>
      <c r="B265" s="116"/>
      <c r="C265" s="116"/>
      <c r="D265" s="141"/>
      <c r="E265" s="141">
        <v>162.0</v>
      </c>
      <c r="F265" s="128">
        <f t="shared" si="5"/>
        <v>122927.2077</v>
      </c>
      <c r="G265" s="148">
        <f t="shared" si="2"/>
        <v>70.68314443</v>
      </c>
      <c r="H265" s="149">
        <f t="shared" si="3"/>
        <v>10936.46384</v>
      </c>
      <c r="I265" s="150">
        <f t="shared" si="6"/>
        <v>4986.676012</v>
      </c>
      <c r="J265" s="35"/>
      <c r="K265" s="141"/>
      <c r="L265" s="141">
        <v>162.0</v>
      </c>
      <c r="M265" s="128">
        <f t="shared" si="7"/>
        <v>111990.7439</v>
      </c>
      <c r="N265" s="148">
        <f t="shared" si="8"/>
        <v>74.15806446</v>
      </c>
      <c r="O265" s="155">
        <f t="shared" si="9"/>
        <v>10238.46318</v>
      </c>
      <c r="P265" s="156">
        <f t="shared" ref="P265:Q265" si="170">P264+$L$7</f>
        <v>79083.43249</v>
      </c>
      <c r="Q265" s="157">
        <f t="shared" si="170"/>
        <v>79083.43249</v>
      </c>
      <c r="R265" s="147"/>
    </row>
    <row r="266" ht="14.25" customHeight="1" outlineLevel="1">
      <c r="A266" s="35"/>
      <c r="B266" s="116"/>
      <c r="C266" s="116"/>
      <c r="D266" s="141"/>
      <c r="E266" s="141">
        <v>163.0</v>
      </c>
      <c r="F266" s="128">
        <f t="shared" si="5"/>
        <v>124042.1027</v>
      </c>
      <c r="G266" s="148">
        <f t="shared" si="2"/>
        <v>71.32420907</v>
      </c>
      <c r="H266" s="149">
        <f t="shared" si="3"/>
        <v>11001.79476</v>
      </c>
      <c r="I266" s="150">
        <f t="shared" si="6"/>
        <v>5058.000221</v>
      </c>
      <c r="J266" s="35"/>
      <c r="K266" s="141"/>
      <c r="L266" s="141">
        <v>163.0</v>
      </c>
      <c r="M266" s="128">
        <f t="shared" si="7"/>
        <v>113040.308</v>
      </c>
      <c r="N266" s="148">
        <f t="shared" si="8"/>
        <v>74.76156381</v>
      </c>
      <c r="O266" s="155">
        <f t="shared" si="9"/>
        <v>10313.22474</v>
      </c>
      <c r="P266" s="156">
        <f t="shared" ref="P266:Q266" si="171">P265+$L$7</f>
        <v>79571.60183</v>
      </c>
      <c r="Q266" s="157">
        <f t="shared" si="171"/>
        <v>79571.60183</v>
      </c>
      <c r="R266" s="147"/>
    </row>
    <row r="267" ht="14.25" customHeight="1" outlineLevel="1">
      <c r="A267" s="35"/>
      <c r="B267" s="116"/>
      <c r="C267" s="116"/>
      <c r="D267" s="141"/>
      <c r="E267" s="141">
        <v>164.0</v>
      </c>
      <c r="F267" s="128">
        <f t="shared" si="5"/>
        <v>125162.6568</v>
      </c>
      <c r="G267" s="148">
        <f t="shared" si="2"/>
        <v>71.96852769</v>
      </c>
      <c r="H267" s="149">
        <f t="shared" si="3"/>
        <v>11067.4573</v>
      </c>
      <c r="I267" s="150">
        <f t="shared" si="6"/>
        <v>5129.968749</v>
      </c>
      <c r="J267" s="35"/>
      <c r="K267" s="141"/>
      <c r="L267" s="141">
        <v>164.0</v>
      </c>
      <c r="M267" s="128">
        <f t="shared" si="7"/>
        <v>114095.1996</v>
      </c>
      <c r="N267" s="148">
        <f t="shared" si="8"/>
        <v>75.36812647</v>
      </c>
      <c r="O267" s="155">
        <f t="shared" si="9"/>
        <v>10388.59287</v>
      </c>
      <c r="P267" s="156">
        <f t="shared" ref="P267:Q267" si="172">P266+$L$7</f>
        <v>80059.77116</v>
      </c>
      <c r="Q267" s="157">
        <f t="shared" si="172"/>
        <v>80059.77116</v>
      </c>
      <c r="R267" s="147"/>
    </row>
    <row r="268" ht="14.25" customHeight="1" outlineLevel="1">
      <c r="A268" s="35"/>
      <c r="B268" s="116"/>
      <c r="C268" s="116"/>
      <c r="D268" s="141"/>
      <c r="E268" s="141">
        <v>165.0</v>
      </c>
      <c r="F268" s="128">
        <f t="shared" si="5"/>
        <v>126288.8988</v>
      </c>
      <c r="G268" s="148">
        <f t="shared" si="2"/>
        <v>72.6161168</v>
      </c>
      <c r="H268" s="149">
        <f t="shared" si="3"/>
        <v>11133.45313</v>
      </c>
      <c r="I268" s="150">
        <f t="shared" si="6"/>
        <v>5202.584866</v>
      </c>
      <c r="J268" s="35"/>
      <c r="K268" s="141"/>
      <c r="L268" s="141">
        <v>165.0</v>
      </c>
      <c r="M268" s="128">
        <f t="shared" si="7"/>
        <v>115155.4456</v>
      </c>
      <c r="N268" s="148">
        <f t="shared" si="8"/>
        <v>75.97776797</v>
      </c>
      <c r="O268" s="155">
        <f t="shared" si="9"/>
        <v>10464.57063</v>
      </c>
      <c r="P268" s="156">
        <f t="shared" ref="P268:Q268" si="173">P267+$L$7</f>
        <v>80547.9405</v>
      </c>
      <c r="Q268" s="157">
        <f t="shared" si="173"/>
        <v>80547.9405</v>
      </c>
      <c r="R268" s="147"/>
    </row>
    <row r="269" ht="14.25" customHeight="1" outlineLevel="1">
      <c r="A269" s="35"/>
      <c r="B269" s="116"/>
      <c r="C269" s="116"/>
      <c r="D269" s="141"/>
      <c r="E269" s="141">
        <v>166.0</v>
      </c>
      <c r="F269" s="128">
        <f t="shared" si="5"/>
        <v>127420.8574</v>
      </c>
      <c r="G269" s="148">
        <f t="shared" si="2"/>
        <v>73.266993</v>
      </c>
      <c r="H269" s="149">
        <f t="shared" si="3"/>
        <v>11199.78395</v>
      </c>
      <c r="I269" s="150">
        <f t="shared" si="6"/>
        <v>5275.851859</v>
      </c>
      <c r="J269" s="35"/>
      <c r="K269" s="141"/>
      <c r="L269" s="141">
        <v>166.0</v>
      </c>
      <c r="M269" s="128">
        <f t="shared" si="7"/>
        <v>116221.0734</v>
      </c>
      <c r="N269" s="148">
        <f t="shared" si="8"/>
        <v>76.59050395</v>
      </c>
      <c r="O269" s="155">
        <f t="shared" si="9"/>
        <v>10541.16114</v>
      </c>
      <c r="P269" s="156">
        <f t="shared" ref="P269:Q269" si="174">P268+$L$7</f>
        <v>81036.10984</v>
      </c>
      <c r="Q269" s="157">
        <f t="shared" si="174"/>
        <v>81036.10984</v>
      </c>
      <c r="R269" s="147"/>
    </row>
    <row r="270" ht="14.25" customHeight="1" outlineLevel="1">
      <c r="A270" s="35"/>
      <c r="B270" s="116"/>
      <c r="C270" s="116"/>
      <c r="D270" s="141"/>
      <c r="E270" s="141">
        <v>167.0</v>
      </c>
      <c r="F270" s="128">
        <f t="shared" si="5"/>
        <v>128558.5617</v>
      </c>
      <c r="G270" s="148">
        <f t="shared" si="2"/>
        <v>73.92117298</v>
      </c>
      <c r="H270" s="149">
        <f t="shared" si="3"/>
        <v>11266.45146</v>
      </c>
      <c r="I270" s="150">
        <f t="shared" si="6"/>
        <v>5349.773032</v>
      </c>
      <c r="J270" s="35"/>
      <c r="K270" s="141"/>
      <c r="L270" s="141">
        <v>167.0</v>
      </c>
      <c r="M270" s="128">
        <f t="shared" si="7"/>
        <v>117292.1102</v>
      </c>
      <c r="N270" s="148">
        <f t="shared" si="8"/>
        <v>77.20635012</v>
      </c>
      <c r="O270" s="155">
        <f t="shared" si="9"/>
        <v>10618.36749</v>
      </c>
      <c r="P270" s="156">
        <f t="shared" ref="P270:Q270" si="175">P269+$L$7</f>
        <v>81524.27917</v>
      </c>
      <c r="Q270" s="157">
        <f t="shared" si="175"/>
        <v>81524.27917</v>
      </c>
      <c r="R270" s="147"/>
    </row>
    <row r="271" ht="14.25" customHeight="1" outlineLevel="1">
      <c r="A271" s="35"/>
      <c r="B271" s="116"/>
      <c r="C271" s="116"/>
      <c r="D271" s="141">
        <v>14.0</v>
      </c>
      <c r="E271" s="141">
        <v>168.0</v>
      </c>
      <c r="F271" s="128">
        <f t="shared" si="5"/>
        <v>129702.0409</v>
      </c>
      <c r="G271" s="148">
        <f t="shared" si="2"/>
        <v>74.57867351</v>
      </c>
      <c r="H271" s="149">
        <f t="shared" si="3"/>
        <v>11333.45737</v>
      </c>
      <c r="I271" s="150">
        <f t="shared" si="6"/>
        <v>5424.351705</v>
      </c>
      <c r="J271" s="35"/>
      <c r="K271" s="141">
        <v>14.0</v>
      </c>
      <c r="L271" s="141">
        <v>168.0</v>
      </c>
      <c r="M271" s="128">
        <f t="shared" si="7"/>
        <v>118368.5835</v>
      </c>
      <c r="N271" s="148">
        <f t="shared" si="8"/>
        <v>77.82532225</v>
      </c>
      <c r="O271" s="155">
        <f t="shared" si="9"/>
        <v>10696.19281</v>
      </c>
      <c r="P271" s="156">
        <f t="shared" ref="P271:Q271" si="176">P270+$L$7</f>
        <v>82012.44851</v>
      </c>
      <c r="Q271" s="157">
        <f t="shared" si="176"/>
        <v>82012.44851</v>
      </c>
      <c r="R271" s="147"/>
    </row>
    <row r="272" ht="14.25" customHeight="1" outlineLevel="1">
      <c r="A272" s="35"/>
      <c r="B272" s="116"/>
      <c r="C272" s="116"/>
      <c r="D272" s="141"/>
      <c r="E272" s="141">
        <v>169.0</v>
      </c>
      <c r="F272" s="128">
        <f t="shared" si="5"/>
        <v>130851.3242</v>
      </c>
      <c r="G272" s="148">
        <f t="shared" si="2"/>
        <v>75.23951144</v>
      </c>
      <c r="H272" s="149">
        <f t="shared" si="3"/>
        <v>11400.80339</v>
      </c>
      <c r="I272" s="150">
        <f t="shared" si="6"/>
        <v>5499.591216</v>
      </c>
      <c r="J272" s="35"/>
      <c r="K272" s="141"/>
      <c r="L272" s="141">
        <v>169.0</v>
      </c>
      <c r="M272" s="128">
        <f t="shared" si="7"/>
        <v>119450.5209</v>
      </c>
      <c r="N272" s="148">
        <f t="shared" si="8"/>
        <v>78.44743622</v>
      </c>
      <c r="O272" s="155">
        <f t="shared" si="9"/>
        <v>10774.64025</v>
      </c>
      <c r="P272" s="156">
        <f t="shared" ref="P272:Q272" si="177">P271+$L$7</f>
        <v>82500.61784</v>
      </c>
      <c r="Q272" s="157">
        <f t="shared" si="177"/>
        <v>82500.61784</v>
      </c>
      <c r="R272" s="147"/>
    </row>
    <row r="273" ht="14.25" customHeight="1" outlineLevel="1">
      <c r="A273" s="35"/>
      <c r="B273" s="116"/>
      <c r="C273" s="116"/>
      <c r="D273" s="141"/>
      <c r="E273" s="141">
        <v>170.0</v>
      </c>
      <c r="F273" s="128">
        <f t="shared" si="5"/>
        <v>132006.4412</v>
      </c>
      <c r="G273" s="148">
        <f t="shared" si="2"/>
        <v>75.90370372</v>
      </c>
      <c r="H273" s="149">
        <f t="shared" si="3"/>
        <v>11468.49125</v>
      </c>
      <c r="I273" s="150">
        <f t="shared" si="6"/>
        <v>5575.49492</v>
      </c>
      <c r="J273" s="35"/>
      <c r="K273" s="141"/>
      <c r="L273" s="141">
        <v>170.0</v>
      </c>
      <c r="M273" s="128">
        <f t="shared" si="7"/>
        <v>120537.95</v>
      </c>
      <c r="N273" s="148">
        <f t="shared" si="8"/>
        <v>79.07270797</v>
      </c>
      <c r="O273" s="155">
        <f t="shared" si="9"/>
        <v>10853.71295</v>
      </c>
      <c r="P273" s="156">
        <f t="shared" ref="P273:Q273" si="178">P272+$L$7</f>
        <v>82988.78718</v>
      </c>
      <c r="Q273" s="157">
        <f t="shared" si="178"/>
        <v>82988.78718</v>
      </c>
      <c r="R273" s="147"/>
    </row>
    <row r="274" ht="14.25" customHeight="1" outlineLevel="1">
      <c r="A274" s="35"/>
      <c r="B274" s="116"/>
      <c r="C274" s="116"/>
      <c r="D274" s="141"/>
      <c r="E274" s="141">
        <v>171.0</v>
      </c>
      <c r="F274" s="128">
        <f t="shared" si="5"/>
        <v>133167.4215</v>
      </c>
      <c r="G274" s="148">
        <f t="shared" si="2"/>
        <v>76.57126736</v>
      </c>
      <c r="H274" s="149">
        <f t="shared" si="3"/>
        <v>11536.52269</v>
      </c>
      <c r="I274" s="150">
        <f t="shared" si="6"/>
        <v>5652.066188</v>
      </c>
      <c r="J274" s="35"/>
      <c r="K274" s="141"/>
      <c r="L274" s="141">
        <v>171.0</v>
      </c>
      <c r="M274" s="128">
        <f t="shared" si="7"/>
        <v>121630.8988</v>
      </c>
      <c r="N274" s="148">
        <f t="shared" si="8"/>
        <v>79.70115354</v>
      </c>
      <c r="O274" s="155">
        <f t="shared" si="9"/>
        <v>10933.41411</v>
      </c>
      <c r="P274" s="156">
        <f t="shared" ref="P274:Q274" si="179">P273+$L$7</f>
        <v>83476.95652</v>
      </c>
      <c r="Q274" s="157">
        <f t="shared" si="179"/>
        <v>83476.95652</v>
      </c>
      <c r="R274" s="147"/>
    </row>
    <row r="275" ht="14.25" customHeight="1" outlineLevel="1">
      <c r="A275" s="35"/>
      <c r="B275" s="116"/>
      <c r="C275" s="116"/>
      <c r="D275" s="141"/>
      <c r="E275" s="141">
        <v>172.0</v>
      </c>
      <c r="F275" s="128">
        <f t="shared" si="5"/>
        <v>134334.2948</v>
      </c>
      <c r="G275" s="148">
        <f t="shared" si="2"/>
        <v>77.24221949</v>
      </c>
      <c r="H275" s="149">
        <f t="shared" si="3"/>
        <v>11604.89945</v>
      </c>
      <c r="I275" s="150">
        <f t="shared" si="6"/>
        <v>5729.308407</v>
      </c>
      <c r="J275" s="35"/>
      <c r="K275" s="141"/>
      <c r="L275" s="141">
        <v>172.0</v>
      </c>
      <c r="M275" s="128">
        <f t="shared" si="7"/>
        <v>122729.3953</v>
      </c>
      <c r="N275" s="148">
        <f t="shared" si="8"/>
        <v>80.33278903</v>
      </c>
      <c r="O275" s="155">
        <f t="shared" si="9"/>
        <v>11013.7469</v>
      </c>
      <c r="P275" s="156">
        <f t="shared" ref="P275:Q275" si="180">P274+$L$7</f>
        <v>83965.12585</v>
      </c>
      <c r="Q275" s="157">
        <f t="shared" si="180"/>
        <v>83965.12585</v>
      </c>
      <c r="R275" s="147"/>
    </row>
    <row r="276" ht="14.25" customHeight="1" outlineLevel="1">
      <c r="A276" s="35"/>
      <c r="B276" s="116"/>
      <c r="C276" s="116"/>
      <c r="D276" s="141"/>
      <c r="E276" s="141">
        <v>173.0</v>
      </c>
      <c r="F276" s="128">
        <f t="shared" si="5"/>
        <v>135507.091</v>
      </c>
      <c r="G276" s="148">
        <f t="shared" si="2"/>
        <v>77.9165773</v>
      </c>
      <c r="H276" s="149">
        <f t="shared" si="3"/>
        <v>11673.62328</v>
      </c>
      <c r="I276" s="150">
        <f t="shared" si="6"/>
        <v>5807.224984</v>
      </c>
      <c r="J276" s="35"/>
      <c r="K276" s="141"/>
      <c r="L276" s="141">
        <v>173.0</v>
      </c>
      <c r="M276" s="128">
        <f t="shared" si="7"/>
        <v>123833.4677</v>
      </c>
      <c r="N276" s="148">
        <f t="shared" si="8"/>
        <v>80.96763064</v>
      </c>
      <c r="O276" s="155">
        <f t="shared" si="9"/>
        <v>11094.71453</v>
      </c>
      <c r="P276" s="156">
        <f t="shared" ref="P276:Q276" si="181">P275+$L$7</f>
        <v>84453.29519</v>
      </c>
      <c r="Q276" s="157">
        <f t="shared" si="181"/>
        <v>84453.29519</v>
      </c>
      <c r="R276" s="147"/>
    </row>
    <row r="277" ht="14.25" customHeight="1" outlineLevel="1">
      <c r="A277" s="35"/>
      <c r="B277" s="116"/>
      <c r="C277" s="116"/>
      <c r="D277" s="141"/>
      <c r="E277" s="141">
        <v>174.0</v>
      </c>
      <c r="F277" s="128">
        <f t="shared" si="5"/>
        <v>136685.8401</v>
      </c>
      <c r="G277" s="148">
        <f t="shared" si="2"/>
        <v>78.59435808</v>
      </c>
      <c r="H277" s="149">
        <f t="shared" si="3"/>
        <v>11742.69595</v>
      </c>
      <c r="I277" s="150">
        <f t="shared" si="6"/>
        <v>5885.819342</v>
      </c>
      <c r="J277" s="35"/>
      <c r="K277" s="141"/>
      <c r="L277" s="141">
        <v>174.0</v>
      </c>
      <c r="M277" s="128">
        <f t="shared" si="7"/>
        <v>124943.1442</v>
      </c>
      <c r="N277" s="148">
        <f t="shared" si="8"/>
        <v>81.60569464</v>
      </c>
      <c r="O277" s="155">
        <f t="shared" si="9"/>
        <v>11176.32022</v>
      </c>
      <c r="P277" s="156">
        <f t="shared" ref="P277:Q277" si="182">P276+$L$7</f>
        <v>84941.46453</v>
      </c>
      <c r="Q277" s="157">
        <f t="shared" si="182"/>
        <v>84941.46453</v>
      </c>
      <c r="R277" s="147"/>
    </row>
    <row r="278" ht="14.25" customHeight="1" outlineLevel="1">
      <c r="A278" s="35"/>
      <c r="B278" s="116"/>
      <c r="C278" s="116"/>
      <c r="D278" s="141"/>
      <c r="E278" s="141">
        <v>175.0</v>
      </c>
      <c r="F278" s="128">
        <f t="shared" si="5"/>
        <v>137870.5725</v>
      </c>
      <c r="G278" s="148">
        <f t="shared" si="2"/>
        <v>79.2755792</v>
      </c>
      <c r="H278" s="149">
        <f t="shared" si="3"/>
        <v>11812.11922</v>
      </c>
      <c r="I278" s="150">
        <f t="shared" si="6"/>
        <v>5965.094922</v>
      </c>
      <c r="J278" s="35"/>
      <c r="K278" s="141"/>
      <c r="L278" s="141">
        <v>175.0</v>
      </c>
      <c r="M278" s="128">
        <f t="shared" si="7"/>
        <v>126058.4533</v>
      </c>
      <c r="N278" s="148">
        <f t="shared" si="8"/>
        <v>82.24699738</v>
      </c>
      <c r="O278" s="155">
        <f t="shared" si="9"/>
        <v>11258.56722</v>
      </c>
      <c r="P278" s="156">
        <f t="shared" ref="P278:Q278" si="183">P277+$L$7</f>
        <v>85429.63386</v>
      </c>
      <c r="Q278" s="157">
        <f t="shared" si="183"/>
        <v>85429.63386</v>
      </c>
      <c r="R278" s="147"/>
    </row>
    <row r="279" ht="14.25" customHeight="1" outlineLevel="1">
      <c r="A279" s="35"/>
      <c r="B279" s="116"/>
      <c r="C279" s="116"/>
      <c r="D279" s="141"/>
      <c r="E279" s="141">
        <v>176.0</v>
      </c>
      <c r="F279" s="128">
        <f t="shared" si="5"/>
        <v>139061.3185</v>
      </c>
      <c r="G279" s="148">
        <f t="shared" si="2"/>
        <v>79.96025813</v>
      </c>
      <c r="H279" s="149">
        <f t="shared" si="3"/>
        <v>11881.89488</v>
      </c>
      <c r="I279" s="150">
        <f t="shared" si="6"/>
        <v>6045.05518</v>
      </c>
      <c r="J279" s="35"/>
      <c r="K279" s="141"/>
      <c r="L279" s="141">
        <v>176.0</v>
      </c>
      <c r="M279" s="128">
        <f t="shared" si="7"/>
        <v>127179.4236</v>
      </c>
      <c r="N279" s="148">
        <f t="shared" si="8"/>
        <v>82.8915553</v>
      </c>
      <c r="O279" s="155">
        <f t="shared" si="9"/>
        <v>11341.45877</v>
      </c>
      <c r="P279" s="156">
        <f t="shared" ref="P279:Q279" si="184">P278+$L$7</f>
        <v>85917.8032</v>
      </c>
      <c r="Q279" s="157">
        <f t="shared" si="184"/>
        <v>85917.8032</v>
      </c>
      <c r="R279" s="147"/>
    </row>
    <row r="280" ht="14.25" customHeight="1" outlineLevel="1">
      <c r="A280" s="35"/>
      <c r="B280" s="116"/>
      <c r="C280" s="116"/>
      <c r="D280" s="141"/>
      <c r="E280" s="141">
        <v>177.0</v>
      </c>
      <c r="F280" s="128">
        <f t="shared" si="5"/>
        <v>140258.1086</v>
      </c>
      <c r="G280" s="148">
        <f t="shared" si="2"/>
        <v>80.64841242</v>
      </c>
      <c r="H280" s="149">
        <f t="shared" si="3"/>
        <v>11952.02472</v>
      </c>
      <c r="I280" s="150">
        <f t="shared" si="6"/>
        <v>6125.703592</v>
      </c>
      <c r="J280" s="35"/>
      <c r="K280" s="141"/>
      <c r="L280" s="141">
        <v>177.0</v>
      </c>
      <c r="M280" s="128">
        <f t="shared" si="7"/>
        <v>128306.0838</v>
      </c>
      <c r="N280" s="148">
        <f t="shared" si="8"/>
        <v>83.53938493</v>
      </c>
      <c r="O280" s="155">
        <f t="shared" si="9"/>
        <v>11424.99816</v>
      </c>
      <c r="P280" s="156">
        <f t="shared" ref="P280:Q280" si="185">P279+$L$7</f>
        <v>86405.97253</v>
      </c>
      <c r="Q280" s="157">
        <f t="shared" si="185"/>
        <v>86405.97253</v>
      </c>
      <c r="R280" s="147"/>
    </row>
    <row r="281" ht="14.25" customHeight="1" outlineLevel="1">
      <c r="A281" s="35"/>
      <c r="B281" s="116"/>
      <c r="C281" s="116"/>
      <c r="D281" s="141"/>
      <c r="E281" s="141">
        <v>178.0</v>
      </c>
      <c r="F281" s="128">
        <f t="shared" si="5"/>
        <v>141460.9734</v>
      </c>
      <c r="G281" s="148">
        <f t="shared" si="2"/>
        <v>81.3400597</v>
      </c>
      <c r="H281" s="149">
        <f t="shared" si="3"/>
        <v>12022.51052</v>
      </c>
      <c r="I281" s="150">
        <f t="shared" si="6"/>
        <v>6207.043652</v>
      </c>
      <c r="J281" s="35"/>
      <c r="K281" s="141"/>
      <c r="L281" s="141">
        <v>178.0</v>
      </c>
      <c r="M281" s="128">
        <f t="shared" si="7"/>
        <v>129438.4629</v>
      </c>
      <c r="N281" s="148">
        <f t="shared" si="8"/>
        <v>84.19050288</v>
      </c>
      <c r="O281" s="155">
        <f t="shared" si="9"/>
        <v>11509.18866</v>
      </c>
      <c r="P281" s="156">
        <f t="shared" ref="P281:Q281" si="186">P280+$L$7</f>
        <v>86894.14187</v>
      </c>
      <c r="Q281" s="157">
        <f t="shared" si="186"/>
        <v>86894.14187</v>
      </c>
      <c r="R281" s="147"/>
    </row>
    <row r="282" ht="14.25" customHeight="1" outlineLevel="1">
      <c r="A282" s="35"/>
      <c r="B282" s="116"/>
      <c r="C282" s="116"/>
      <c r="D282" s="141"/>
      <c r="E282" s="141">
        <v>179.0</v>
      </c>
      <c r="F282" s="128">
        <f t="shared" si="5"/>
        <v>142669.9439</v>
      </c>
      <c r="G282" s="148">
        <f t="shared" si="2"/>
        <v>82.03521772</v>
      </c>
      <c r="H282" s="149">
        <f t="shared" si="3"/>
        <v>12093.3541</v>
      </c>
      <c r="I282" s="150">
        <f t="shared" si="6"/>
        <v>6289.07887</v>
      </c>
      <c r="J282" s="35"/>
      <c r="K282" s="141"/>
      <c r="L282" s="141">
        <v>179.0</v>
      </c>
      <c r="M282" s="128">
        <f t="shared" si="7"/>
        <v>130576.5898</v>
      </c>
      <c r="N282" s="148">
        <f t="shared" si="8"/>
        <v>84.84492584</v>
      </c>
      <c r="O282" s="155">
        <f t="shared" si="9"/>
        <v>11594.03359</v>
      </c>
      <c r="P282" s="156">
        <f t="shared" ref="P282:Q282" si="187">P281+$L$7</f>
        <v>87382.31121</v>
      </c>
      <c r="Q282" s="157">
        <f t="shared" si="187"/>
        <v>87382.31121</v>
      </c>
      <c r="R282" s="147"/>
    </row>
    <row r="283" ht="14.25" customHeight="1" outlineLevel="1">
      <c r="A283" s="35"/>
      <c r="B283" s="116"/>
      <c r="C283" s="116"/>
      <c r="D283" s="141">
        <v>15.0</v>
      </c>
      <c r="E283" s="141">
        <v>180.0</v>
      </c>
      <c r="F283" s="128">
        <f t="shared" si="5"/>
        <v>143885.0509</v>
      </c>
      <c r="G283" s="148">
        <f t="shared" si="2"/>
        <v>82.73390428</v>
      </c>
      <c r="H283" s="149">
        <f t="shared" si="3"/>
        <v>12164.55728</v>
      </c>
      <c r="I283" s="150">
        <f t="shared" si="6"/>
        <v>6371.812774</v>
      </c>
      <c r="J283" s="35"/>
      <c r="K283" s="141">
        <v>15.0</v>
      </c>
      <c r="L283" s="141">
        <v>180.0</v>
      </c>
      <c r="M283" s="128">
        <f t="shared" si="7"/>
        <v>131720.4936</v>
      </c>
      <c r="N283" s="148">
        <f t="shared" si="8"/>
        <v>85.50267057</v>
      </c>
      <c r="O283" s="155">
        <f t="shared" si="9"/>
        <v>11679.53626</v>
      </c>
      <c r="P283" s="156">
        <f t="shared" ref="P283:Q283" si="188">P282+$L$7</f>
        <v>87870.48054</v>
      </c>
      <c r="Q283" s="157">
        <f t="shared" si="188"/>
        <v>87870.48054</v>
      </c>
      <c r="R283" s="147"/>
    </row>
    <row r="284" ht="14.25" customHeight="1" outlineLevel="1">
      <c r="A284" s="35"/>
      <c r="B284" s="116"/>
      <c r="C284" s="116"/>
      <c r="D284" s="141"/>
      <c r="E284" s="141">
        <v>181.0</v>
      </c>
      <c r="F284" s="128">
        <f t="shared" si="5"/>
        <v>145106.3257</v>
      </c>
      <c r="G284" s="148">
        <f t="shared" si="2"/>
        <v>83.4361373</v>
      </c>
      <c r="H284" s="149">
        <f t="shared" si="3"/>
        <v>12236.12188</v>
      </c>
      <c r="I284" s="150">
        <f t="shared" si="6"/>
        <v>6455.248911</v>
      </c>
      <c r="J284" s="35"/>
      <c r="K284" s="141"/>
      <c r="L284" s="141">
        <v>181.0</v>
      </c>
      <c r="M284" s="128">
        <f t="shared" si="7"/>
        <v>132870.2039</v>
      </c>
      <c r="N284" s="148">
        <f t="shared" si="8"/>
        <v>86.16375395</v>
      </c>
      <c r="O284" s="155">
        <f t="shared" si="9"/>
        <v>11765.70001</v>
      </c>
      <c r="P284" s="156">
        <f t="shared" ref="P284:Q284" si="189">P283+$L$7</f>
        <v>88358.64988</v>
      </c>
      <c r="Q284" s="157">
        <f t="shared" si="189"/>
        <v>88358.64988</v>
      </c>
      <c r="R284" s="147"/>
    </row>
    <row r="285" ht="14.25" customHeight="1" outlineLevel="1">
      <c r="A285" s="35"/>
      <c r="B285" s="116"/>
      <c r="C285" s="116"/>
      <c r="D285" s="141"/>
      <c r="E285" s="141">
        <v>182.0</v>
      </c>
      <c r="F285" s="128">
        <f t="shared" si="5"/>
        <v>146333.7996</v>
      </c>
      <c r="G285" s="148">
        <f t="shared" si="2"/>
        <v>84.14193478</v>
      </c>
      <c r="H285" s="149">
        <f t="shared" si="3"/>
        <v>12308.04973</v>
      </c>
      <c r="I285" s="150">
        <f t="shared" si="6"/>
        <v>6539.390846</v>
      </c>
      <c r="J285" s="35"/>
      <c r="K285" s="141"/>
      <c r="L285" s="141">
        <v>182.0</v>
      </c>
      <c r="M285" s="128">
        <f t="shared" si="7"/>
        <v>134025.7499</v>
      </c>
      <c r="N285" s="148">
        <f t="shared" si="8"/>
        <v>86.82819292</v>
      </c>
      <c r="O285" s="155">
        <f t="shared" si="9"/>
        <v>11852.52821</v>
      </c>
      <c r="P285" s="156">
        <f t="shared" ref="P285:Q285" si="190">P284+$L$7</f>
        <v>88846.81922</v>
      </c>
      <c r="Q285" s="157">
        <f t="shared" si="190"/>
        <v>88846.81922</v>
      </c>
      <c r="R285" s="147"/>
    </row>
    <row r="286" ht="14.25" customHeight="1" outlineLevel="1">
      <c r="A286" s="1"/>
      <c r="B286" s="163"/>
      <c r="C286" s="163"/>
      <c r="D286" s="164"/>
      <c r="E286" s="164">
        <v>183.0</v>
      </c>
      <c r="F286" s="165">
        <f t="shared" si="5"/>
        <v>147567.504</v>
      </c>
      <c r="G286" s="166">
        <f t="shared" si="2"/>
        <v>84.85131482</v>
      </c>
      <c r="H286" s="167">
        <f t="shared" si="3"/>
        <v>12380.34268</v>
      </c>
      <c r="I286" s="168">
        <f t="shared" si="6"/>
        <v>6624.242161</v>
      </c>
      <c r="J286" s="1"/>
      <c r="K286" s="164"/>
      <c r="L286" s="164">
        <v>183.0</v>
      </c>
      <c r="M286" s="165">
        <f t="shared" si="7"/>
        <v>135187.1614</v>
      </c>
      <c r="N286" s="166">
        <f t="shared" si="8"/>
        <v>87.49600451</v>
      </c>
      <c r="O286" s="169">
        <f t="shared" si="9"/>
        <v>11940.02421</v>
      </c>
      <c r="P286" s="170">
        <f t="shared" ref="P286:Q286" si="191">P285+$L$7</f>
        <v>89334.98855</v>
      </c>
      <c r="Q286" s="171">
        <f t="shared" si="191"/>
        <v>89334.98855</v>
      </c>
      <c r="R286" s="172"/>
    </row>
    <row r="287" ht="14.25" customHeight="1" outlineLevel="1">
      <c r="A287" s="1"/>
      <c r="B287" s="163"/>
      <c r="C287" s="163"/>
      <c r="D287" s="164"/>
      <c r="E287" s="164">
        <v>184.0</v>
      </c>
      <c r="F287" s="165">
        <f t="shared" si="5"/>
        <v>148807.4706</v>
      </c>
      <c r="G287" s="166">
        <f t="shared" si="2"/>
        <v>85.56429559</v>
      </c>
      <c r="H287" s="167">
        <f t="shared" si="3"/>
        <v>12453.00258</v>
      </c>
      <c r="I287" s="168">
        <f t="shared" si="6"/>
        <v>6709.806456</v>
      </c>
      <c r="J287" s="1"/>
      <c r="K287" s="164"/>
      <c r="L287" s="164">
        <v>184.0</v>
      </c>
      <c r="M287" s="165">
        <f t="shared" si="7"/>
        <v>136354.468</v>
      </c>
      <c r="N287" s="166">
        <f t="shared" si="8"/>
        <v>88.16720584</v>
      </c>
      <c r="O287" s="169">
        <f t="shared" si="9"/>
        <v>12028.19142</v>
      </c>
      <c r="P287" s="170">
        <f t="shared" ref="P287:Q287" si="192">P286+$L$7</f>
        <v>89823.15789</v>
      </c>
      <c r="Q287" s="171">
        <f t="shared" si="192"/>
        <v>89823.15789</v>
      </c>
      <c r="R287" s="172"/>
    </row>
    <row r="288" ht="14.25" customHeight="1" outlineLevel="1">
      <c r="A288" s="1"/>
      <c r="B288" s="163"/>
      <c r="C288" s="163"/>
      <c r="D288" s="164"/>
      <c r="E288" s="164">
        <v>185.0</v>
      </c>
      <c r="F288" s="165">
        <f t="shared" si="5"/>
        <v>150053.7311</v>
      </c>
      <c r="G288" s="166">
        <f t="shared" si="2"/>
        <v>86.28089538</v>
      </c>
      <c r="H288" s="167">
        <f t="shared" si="3"/>
        <v>12526.03129</v>
      </c>
      <c r="I288" s="168">
        <f t="shared" si="6"/>
        <v>6796.087352</v>
      </c>
      <c r="J288" s="1"/>
      <c r="K288" s="164"/>
      <c r="L288" s="164">
        <v>185.0</v>
      </c>
      <c r="M288" s="165">
        <f t="shared" si="7"/>
        <v>137527.6998</v>
      </c>
      <c r="N288" s="166">
        <f t="shared" si="8"/>
        <v>88.84181412</v>
      </c>
      <c r="O288" s="169">
        <f t="shared" si="9"/>
        <v>12117.03323</v>
      </c>
      <c r="P288" s="170">
        <f t="shared" ref="P288:Q288" si="193">P287+$L$7</f>
        <v>90311.32723</v>
      </c>
      <c r="Q288" s="171">
        <f t="shared" si="193"/>
        <v>90311.32723</v>
      </c>
      <c r="R288" s="172"/>
    </row>
    <row r="289" ht="14.25" customHeight="1" outlineLevel="1">
      <c r="A289" s="1"/>
      <c r="B289" s="163"/>
      <c r="C289" s="163"/>
      <c r="D289" s="164"/>
      <c r="E289" s="164">
        <v>186.0</v>
      </c>
      <c r="F289" s="165">
        <f t="shared" si="5"/>
        <v>151306.3175</v>
      </c>
      <c r="G289" s="166">
        <f t="shared" si="2"/>
        <v>87.00113255</v>
      </c>
      <c r="H289" s="167">
        <f t="shared" si="3"/>
        <v>12599.43069</v>
      </c>
      <c r="I289" s="168">
        <f t="shared" si="6"/>
        <v>6883.088484</v>
      </c>
      <c r="J289" s="1"/>
      <c r="K289" s="164"/>
      <c r="L289" s="164">
        <v>186.0</v>
      </c>
      <c r="M289" s="165">
        <f t="shared" si="7"/>
        <v>138706.8868</v>
      </c>
      <c r="N289" s="166">
        <f t="shared" si="8"/>
        <v>89.51984663</v>
      </c>
      <c r="O289" s="169">
        <f t="shared" si="9"/>
        <v>12206.55308</v>
      </c>
      <c r="P289" s="170">
        <f t="shared" ref="P289:Q289" si="194">P288+$L$7</f>
        <v>90799.49656</v>
      </c>
      <c r="Q289" s="171">
        <f t="shared" si="194"/>
        <v>90799.49656</v>
      </c>
      <c r="R289" s="172"/>
    </row>
    <row r="290" ht="14.25" customHeight="1" outlineLevel="1">
      <c r="A290" s="1"/>
      <c r="B290" s="163"/>
      <c r="C290" s="163"/>
      <c r="D290" s="164"/>
      <c r="E290" s="164">
        <v>187.0</v>
      </c>
      <c r="F290" s="165">
        <f t="shared" si="5"/>
        <v>152565.2619</v>
      </c>
      <c r="G290" s="166">
        <f t="shared" si="2"/>
        <v>87.72502558</v>
      </c>
      <c r="H290" s="167">
        <f t="shared" si="3"/>
        <v>12673.20266</v>
      </c>
      <c r="I290" s="168">
        <f t="shared" si="6"/>
        <v>6970.81351</v>
      </c>
      <c r="J290" s="1"/>
      <c r="K290" s="164"/>
      <c r="L290" s="164">
        <v>187.0</v>
      </c>
      <c r="M290" s="165">
        <f t="shared" si="7"/>
        <v>139892.0592</v>
      </c>
      <c r="N290" s="166">
        <f t="shared" si="8"/>
        <v>90.20132077</v>
      </c>
      <c r="O290" s="169">
        <f t="shared" si="9"/>
        <v>12296.7544</v>
      </c>
      <c r="P290" s="170">
        <f t="shared" ref="P290:Q290" si="195">P289+$L$7</f>
        <v>91287.6659</v>
      </c>
      <c r="Q290" s="171">
        <f t="shared" si="195"/>
        <v>91287.6659</v>
      </c>
      <c r="R290" s="172"/>
    </row>
    <row r="291" ht="14.25" customHeight="1" outlineLevel="1">
      <c r="A291" s="1"/>
      <c r="B291" s="163"/>
      <c r="C291" s="163"/>
      <c r="D291" s="164"/>
      <c r="E291" s="164">
        <v>188.0</v>
      </c>
      <c r="F291" s="165">
        <f t="shared" si="5"/>
        <v>153830.5965</v>
      </c>
      <c r="G291" s="166">
        <f t="shared" si="2"/>
        <v>88.452593</v>
      </c>
      <c r="H291" s="167">
        <f t="shared" si="3"/>
        <v>12747.34909</v>
      </c>
      <c r="I291" s="168">
        <f t="shared" si="6"/>
        <v>7059.266103</v>
      </c>
      <c r="J291" s="1"/>
      <c r="K291" s="164"/>
      <c r="L291" s="164">
        <v>188.0</v>
      </c>
      <c r="M291" s="165">
        <f t="shared" si="7"/>
        <v>141083.2474</v>
      </c>
      <c r="N291" s="166">
        <f t="shared" si="8"/>
        <v>90.886254</v>
      </c>
      <c r="O291" s="169">
        <f t="shared" si="9"/>
        <v>12387.64065</v>
      </c>
      <c r="P291" s="170">
        <f t="shared" ref="P291:Q291" si="196">P290+$L$7</f>
        <v>91775.83523</v>
      </c>
      <c r="Q291" s="171">
        <f t="shared" si="196"/>
        <v>91775.83523</v>
      </c>
      <c r="R291" s="172"/>
    </row>
    <row r="292" ht="14.25" customHeight="1" outlineLevel="1">
      <c r="A292" s="1"/>
      <c r="B292" s="163"/>
      <c r="C292" s="163"/>
      <c r="D292" s="164"/>
      <c r="E292" s="164">
        <v>189.0</v>
      </c>
      <c r="F292" s="165">
        <f t="shared" si="5"/>
        <v>155102.3539</v>
      </c>
      <c r="G292" s="166">
        <f t="shared" si="2"/>
        <v>89.18385348</v>
      </c>
      <c r="H292" s="167">
        <f t="shared" si="3"/>
        <v>12821.87187</v>
      </c>
      <c r="I292" s="168">
        <f t="shared" si="6"/>
        <v>7148.449956</v>
      </c>
      <c r="J292" s="1"/>
      <c r="K292" s="164"/>
      <c r="L292" s="164">
        <v>189.0</v>
      </c>
      <c r="M292" s="165">
        <f t="shared" si="7"/>
        <v>142280.482</v>
      </c>
      <c r="N292" s="166">
        <f t="shared" si="8"/>
        <v>91.57466388</v>
      </c>
      <c r="O292" s="169">
        <f t="shared" si="9"/>
        <v>12479.21532</v>
      </c>
      <c r="P292" s="170">
        <f t="shared" ref="P292:Q292" si="197">P291+$L$7</f>
        <v>92264.00457</v>
      </c>
      <c r="Q292" s="171">
        <f t="shared" si="197"/>
        <v>92264.00457</v>
      </c>
      <c r="R292" s="172"/>
    </row>
    <row r="293" ht="14.25" customHeight="1" outlineLevel="1">
      <c r="A293" s="1"/>
      <c r="B293" s="163"/>
      <c r="C293" s="163"/>
      <c r="D293" s="164"/>
      <c r="E293" s="164">
        <v>190.0</v>
      </c>
      <c r="F293" s="165">
        <f t="shared" si="5"/>
        <v>156380.5665</v>
      </c>
      <c r="G293" s="166">
        <f t="shared" si="2"/>
        <v>89.91882576</v>
      </c>
      <c r="H293" s="167">
        <f t="shared" si="3"/>
        <v>12896.77293</v>
      </c>
      <c r="I293" s="168">
        <f t="shared" si="6"/>
        <v>7238.368782</v>
      </c>
      <c r="J293" s="1"/>
      <c r="K293" s="164"/>
      <c r="L293" s="164">
        <v>190.0</v>
      </c>
      <c r="M293" s="165">
        <f t="shared" si="7"/>
        <v>143483.7936</v>
      </c>
      <c r="N293" s="166">
        <f t="shared" si="8"/>
        <v>92.26656806</v>
      </c>
      <c r="O293" s="169">
        <f t="shared" si="9"/>
        <v>12571.48188</v>
      </c>
      <c r="P293" s="170">
        <f t="shared" ref="P293:Q293" si="198">P292+$L$7</f>
        <v>92752.17391</v>
      </c>
      <c r="Q293" s="171">
        <f t="shared" si="198"/>
        <v>92752.17391</v>
      </c>
      <c r="R293" s="172"/>
    </row>
    <row r="294" ht="14.25" customHeight="1" outlineLevel="1">
      <c r="A294" s="1"/>
      <c r="B294" s="163"/>
      <c r="C294" s="163"/>
      <c r="D294" s="164"/>
      <c r="E294" s="164">
        <v>191.0</v>
      </c>
      <c r="F294" s="165">
        <f t="shared" si="5"/>
        <v>157665.2673</v>
      </c>
      <c r="G294" s="166">
        <f t="shared" si="2"/>
        <v>90.65752869</v>
      </c>
      <c r="H294" s="167">
        <f t="shared" si="3"/>
        <v>12972.05417</v>
      </c>
      <c r="I294" s="168">
        <f t="shared" si="6"/>
        <v>7329.026311</v>
      </c>
      <c r="J294" s="1"/>
      <c r="K294" s="164"/>
      <c r="L294" s="164">
        <v>191.0</v>
      </c>
      <c r="M294" s="165">
        <f t="shared" si="7"/>
        <v>144693.2131</v>
      </c>
      <c r="N294" s="166">
        <f t="shared" si="8"/>
        <v>92.96198426</v>
      </c>
      <c r="O294" s="169">
        <f t="shared" si="9"/>
        <v>12664.44387</v>
      </c>
      <c r="P294" s="170">
        <f t="shared" ref="P294:Q294" si="199">P293+$L$7</f>
        <v>93240.34324</v>
      </c>
      <c r="Q294" s="171">
        <f t="shared" si="199"/>
        <v>93240.34324</v>
      </c>
      <c r="R294" s="172"/>
    </row>
    <row r="295" ht="14.25" customHeight="1" outlineLevel="1">
      <c r="A295" s="1"/>
      <c r="B295" s="163"/>
      <c r="C295" s="163"/>
      <c r="D295" s="164">
        <v>16.0</v>
      </c>
      <c r="E295" s="164">
        <v>192.0</v>
      </c>
      <c r="F295" s="165">
        <f t="shared" si="5"/>
        <v>158956.489</v>
      </c>
      <c r="G295" s="166">
        <f t="shared" si="2"/>
        <v>91.39998119</v>
      </c>
      <c r="H295" s="167">
        <f t="shared" si="3"/>
        <v>13047.71754</v>
      </c>
      <c r="I295" s="168">
        <f t="shared" si="6"/>
        <v>7420.426292</v>
      </c>
      <c r="J295" s="1"/>
      <c r="K295" s="164">
        <v>16.0</v>
      </c>
      <c r="L295" s="164">
        <v>192.0</v>
      </c>
      <c r="M295" s="165">
        <f t="shared" si="7"/>
        <v>145908.7715</v>
      </c>
      <c r="N295" s="166">
        <f t="shared" si="8"/>
        <v>93.66093033</v>
      </c>
      <c r="O295" s="169">
        <f t="shared" si="9"/>
        <v>12758.1048</v>
      </c>
      <c r="P295" s="170">
        <f t="shared" ref="P295:Q295" si="200">P294+$L$7</f>
        <v>93728.51258</v>
      </c>
      <c r="Q295" s="171">
        <f t="shared" si="200"/>
        <v>93728.51258</v>
      </c>
      <c r="R295" s="172"/>
    </row>
    <row r="296" ht="14.25" customHeight="1" outlineLevel="1">
      <c r="A296" s="1"/>
      <c r="B296" s="163"/>
      <c r="C296" s="163"/>
      <c r="D296" s="164"/>
      <c r="E296" s="164">
        <v>193.0</v>
      </c>
      <c r="F296" s="165">
        <f t="shared" si="5"/>
        <v>160254.2649</v>
      </c>
      <c r="G296" s="166">
        <f t="shared" si="2"/>
        <v>92.1462023</v>
      </c>
      <c r="H296" s="167">
        <f t="shared" si="3"/>
        <v>13123.76497</v>
      </c>
      <c r="I296" s="168">
        <f t="shared" si="6"/>
        <v>7512.572494</v>
      </c>
      <c r="J296" s="1"/>
      <c r="K296" s="164"/>
      <c r="L296" s="164">
        <v>193.0</v>
      </c>
      <c r="M296" s="165">
        <f t="shared" si="7"/>
        <v>147130.4999</v>
      </c>
      <c r="N296" s="166">
        <f t="shared" si="8"/>
        <v>94.36342417</v>
      </c>
      <c r="O296" s="169">
        <f t="shared" si="9"/>
        <v>12852.46822</v>
      </c>
      <c r="P296" s="170">
        <f t="shared" ref="P296:Q296" si="201">P295+$L$7</f>
        <v>94216.68192</v>
      </c>
      <c r="Q296" s="171">
        <f t="shared" si="201"/>
        <v>94216.68192</v>
      </c>
      <c r="R296" s="172"/>
    </row>
    <row r="297" ht="14.25" customHeight="1" outlineLevel="1">
      <c r="A297" s="1"/>
      <c r="B297" s="163"/>
      <c r="C297" s="163"/>
      <c r="D297" s="164"/>
      <c r="E297" s="164">
        <v>194.0</v>
      </c>
      <c r="F297" s="165">
        <f t="shared" si="5"/>
        <v>161558.6281</v>
      </c>
      <c r="G297" s="166">
        <f t="shared" si="2"/>
        <v>92.89621115</v>
      </c>
      <c r="H297" s="167">
        <f t="shared" si="3"/>
        <v>13200.1984</v>
      </c>
      <c r="I297" s="168">
        <f t="shared" si="6"/>
        <v>7605.468705</v>
      </c>
      <c r="J297" s="1"/>
      <c r="K297" s="164"/>
      <c r="L297" s="164">
        <v>194.0</v>
      </c>
      <c r="M297" s="165">
        <f t="shared" si="7"/>
        <v>148358.4297</v>
      </c>
      <c r="N297" s="166">
        <f t="shared" si="8"/>
        <v>95.0694838</v>
      </c>
      <c r="O297" s="169">
        <f t="shared" si="9"/>
        <v>12947.53771</v>
      </c>
      <c r="P297" s="170">
        <f t="shared" ref="P297:Q297" si="202">P296+$L$7</f>
        <v>94704.85125</v>
      </c>
      <c r="Q297" s="171">
        <f t="shared" si="202"/>
        <v>94704.85125</v>
      </c>
      <c r="R297" s="172"/>
    </row>
    <row r="298" ht="14.25" customHeight="1" outlineLevel="1">
      <c r="A298" s="1"/>
      <c r="B298" s="163"/>
      <c r="C298" s="163"/>
      <c r="D298" s="164"/>
      <c r="E298" s="164">
        <v>195.0</v>
      </c>
      <c r="F298" s="165">
        <f t="shared" si="5"/>
        <v>162869.6121</v>
      </c>
      <c r="G298" s="166">
        <f t="shared" si="2"/>
        <v>93.65002697</v>
      </c>
      <c r="H298" s="167">
        <f t="shared" si="3"/>
        <v>13277.0198</v>
      </c>
      <c r="I298" s="168">
        <f t="shared" si="6"/>
        <v>7699.118732</v>
      </c>
      <c r="J298" s="1"/>
      <c r="K298" s="164"/>
      <c r="L298" s="164">
        <v>195.0</v>
      </c>
      <c r="M298" s="165">
        <f t="shared" si="7"/>
        <v>149592.5923</v>
      </c>
      <c r="N298" s="166">
        <f t="shared" si="8"/>
        <v>95.77912731</v>
      </c>
      <c r="O298" s="169">
        <f t="shared" si="9"/>
        <v>13043.31683</v>
      </c>
      <c r="P298" s="170">
        <f t="shared" ref="P298:Q298" si="203">P297+$L$7</f>
        <v>95193.02059</v>
      </c>
      <c r="Q298" s="171">
        <f t="shared" si="203"/>
        <v>95193.02059</v>
      </c>
      <c r="R298" s="172"/>
    </row>
    <row r="299" ht="14.25" customHeight="1" outlineLevel="1">
      <c r="A299" s="1"/>
      <c r="B299" s="163"/>
      <c r="C299" s="163"/>
      <c r="D299" s="164"/>
      <c r="E299" s="164">
        <v>196.0</v>
      </c>
      <c r="F299" s="165">
        <f t="shared" si="5"/>
        <v>164187.2506</v>
      </c>
      <c r="G299" s="166">
        <f t="shared" si="2"/>
        <v>94.40766907</v>
      </c>
      <c r="H299" s="167">
        <f t="shared" si="3"/>
        <v>13354.23114</v>
      </c>
      <c r="I299" s="168">
        <f t="shared" si="6"/>
        <v>7793.526402</v>
      </c>
      <c r="J299" s="1"/>
      <c r="K299" s="164"/>
      <c r="L299" s="164">
        <v>196.0</v>
      </c>
      <c r="M299" s="165">
        <f t="shared" si="7"/>
        <v>150833.0194</v>
      </c>
      <c r="N299" s="166">
        <f t="shared" si="8"/>
        <v>96.49237289</v>
      </c>
      <c r="O299" s="169">
        <f t="shared" si="9"/>
        <v>13139.80921</v>
      </c>
      <c r="P299" s="170">
        <f t="shared" ref="P299:Q299" si="204">P298+$L$7</f>
        <v>95681.18993</v>
      </c>
      <c r="Q299" s="171">
        <f t="shared" si="204"/>
        <v>95681.18993</v>
      </c>
      <c r="R299" s="172"/>
    </row>
    <row r="300" ht="14.25" customHeight="1" outlineLevel="1">
      <c r="A300" s="1"/>
      <c r="B300" s="163"/>
      <c r="C300" s="163"/>
      <c r="D300" s="164"/>
      <c r="E300" s="164">
        <v>197.0</v>
      </c>
      <c r="F300" s="165">
        <f t="shared" si="5"/>
        <v>165511.5772</v>
      </c>
      <c r="G300" s="166">
        <f t="shared" si="2"/>
        <v>95.16915689</v>
      </c>
      <c r="H300" s="167">
        <f t="shared" si="3"/>
        <v>13431.83439</v>
      </c>
      <c r="I300" s="168">
        <f t="shared" si="6"/>
        <v>7888.695558</v>
      </c>
      <c r="J300" s="1"/>
      <c r="K300" s="164"/>
      <c r="L300" s="164">
        <v>197.0</v>
      </c>
      <c r="M300" s="165">
        <f t="shared" si="7"/>
        <v>152079.7428</v>
      </c>
      <c r="N300" s="166">
        <f t="shared" si="8"/>
        <v>97.20923884</v>
      </c>
      <c r="O300" s="169">
        <f t="shared" si="9"/>
        <v>13237.01845</v>
      </c>
      <c r="P300" s="170">
        <f t="shared" ref="P300:Q300" si="205">P299+$L$7</f>
        <v>96169.35926</v>
      </c>
      <c r="Q300" s="171">
        <f t="shared" si="205"/>
        <v>96169.35926</v>
      </c>
      <c r="R300" s="172"/>
    </row>
    <row r="301" ht="14.25" customHeight="1" outlineLevel="1">
      <c r="A301" s="1"/>
      <c r="B301" s="163"/>
      <c r="C301" s="163"/>
      <c r="D301" s="164"/>
      <c r="E301" s="164">
        <v>198.0</v>
      </c>
      <c r="F301" s="165">
        <f t="shared" si="5"/>
        <v>166842.626</v>
      </c>
      <c r="G301" s="166">
        <f t="shared" si="2"/>
        <v>95.93450994</v>
      </c>
      <c r="H301" s="167">
        <f t="shared" si="3"/>
        <v>13509.83156</v>
      </c>
      <c r="I301" s="168">
        <f t="shared" si="6"/>
        <v>7984.630068</v>
      </c>
      <c r="J301" s="1"/>
      <c r="K301" s="164"/>
      <c r="L301" s="164">
        <v>198.0</v>
      </c>
      <c r="M301" s="165">
        <f t="shared" si="7"/>
        <v>153332.7944</v>
      </c>
      <c r="N301" s="166">
        <f t="shared" si="8"/>
        <v>97.92974352</v>
      </c>
      <c r="O301" s="169">
        <f t="shared" si="9"/>
        <v>13334.94819</v>
      </c>
      <c r="P301" s="170">
        <f t="shared" ref="P301:Q301" si="206">P300+$L$7</f>
        <v>96657.5286</v>
      </c>
      <c r="Q301" s="171">
        <f t="shared" si="206"/>
        <v>96657.5286</v>
      </c>
      <c r="R301" s="172"/>
    </row>
    <row r="302" ht="14.25" customHeight="1" outlineLevel="1">
      <c r="A302" s="1"/>
      <c r="B302" s="163"/>
      <c r="C302" s="163"/>
      <c r="D302" s="164"/>
      <c r="E302" s="164">
        <v>199.0</v>
      </c>
      <c r="F302" s="165">
        <f t="shared" si="5"/>
        <v>168180.431</v>
      </c>
      <c r="G302" s="166">
        <f t="shared" si="2"/>
        <v>96.70374784</v>
      </c>
      <c r="H302" s="167">
        <f t="shared" si="3"/>
        <v>13588.22462</v>
      </c>
      <c r="I302" s="168">
        <f t="shared" si="6"/>
        <v>8081.333816</v>
      </c>
      <c r="J302" s="1"/>
      <c r="K302" s="164"/>
      <c r="L302" s="164">
        <v>199.0</v>
      </c>
      <c r="M302" s="165">
        <f t="shared" si="7"/>
        <v>154592.2064</v>
      </c>
      <c r="N302" s="166">
        <f t="shared" si="8"/>
        <v>98.65390541</v>
      </c>
      <c r="O302" s="169">
        <f t="shared" si="9"/>
        <v>13433.60209</v>
      </c>
      <c r="P302" s="170">
        <f t="shared" ref="P302:Q302" si="207">P301+$L$7</f>
        <v>97145.69793</v>
      </c>
      <c r="Q302" s="171">
        <f t="shared" si="207"/>
        <v>97145.69793</v>
      </c>
      <c r="R302" s="172"/>
    </row>
    <row r="303" ht="14.25" customHeight="1" outlineLevel="1">
      <c r="A303" s="1"/>
      <c r="B303" s="163"/>
      <c r="C303" s="163"/>
      <c r="D303" s="164"/>
      <c r="E303" s="164">
        <v>200.0</v>
      </c>
      <c r="F303" s="165">
        <f t="shared" si="5"/>
        <v>169525.0266</v>
      </c>
      <c r="G303" s="166">
        <f t="shared" si="2"/>
        <v>97.47689031</v>
      </c>
      <c r="H303" s="167">
        <f t="shared" si="3"/>
        <v>13667.0156</v>
      </c>
      <c r="I303" s="168">
        <f t="shared" si="6"/>
        <v>8178.810706</v>
      </c>
      <c r="J303" s="1"/>
      <c r="K303" s="164"/>
      <c r="L303" s="164">
        <v>200.0</v>
      </c>
      <c r="M303" s="165">
        <f t="shared" si="7"/>
        <v>155858.011</v>
      </c>
      <c r="N303" s="166">
        <f t="shared" si="8"/>
        <v>99.38174306</v>
      </c>
      <c r="O303" s="169">
        <f t="shared" si="9"/>
        <v>13532.98384</v>
      </c>
      <c r="P303" s="170">
        <f t="shared" ref="P303:Q303" si="208">P302+$L$7</f>
        <v>97633.86727</v>
      </c>
      <c r="Q303" s="171">
        <f t="shared" si="208"/>
        <v>97633.86727</v>
      </c>
      <c r="R303" s="172"/>
    </row>
    <row r="304" ht="14.25" customHeight="1" outlineLevel="1">
      <c r="A304" s="1"/>
      <c r="B304" s="163"/>
      <c r="C304" s="163"/>
      <c r="D304" s="164"/>
      <c r="E304" s="164">
        <v>201.0</v>
      </c>
      <c r="F304" s="165">
        <f t="shared" si="5"/>
        <v>170876.4472</v>
      </c>
      <c r="G304" s="166">
        <f t="shared" si="2"/>
        <v>98.25395717</v>
      </c>
      <c r="H304" s="167">
        <f t="shared" si="3"/>
        <v>13746.20652</v>
      </c>
      <c r="I304" s="168">
        <f t="shared" si="6"/>
        <v>8277.064664</v>
      </c>
      <c r="J304" s="1"/>
      <c r="K304" s="164"/>
      <c r="L304" s="164">
        <v>201.0</v>
      </c>
      <c r="M304" s="165">
        <f t="shared" si="7"/>
        <v>157130.2407</v>
      </c>
      <c r="N304" s="166">
        <f t="shared" si="8"/>
        <v>100.1132751</v>
      </c>
      <c r="O304" s="169">
        <f t="shared" si="9"/>
        <v>13633.09711</v>
      </c>
      <c r="P304" s="170">
        <f t="shared" ref="P304:Q304" si="209">P303+$L$7</f>
        <v>98122.03661</v>
      </c>
      <c r="Q304" s="171">
        <f t="shared" si="209"/>
        <v>98122.03661</v>
      </c>
      <c r="R304" s="172"/>
    </row>
    <row r="305" ht="14.25" customHeight="1" outlineLevel="1">
      <c r="A305" s="1"/>
      <c r="B305" s="163"/>
      <c r="C305" s="163"/>
      <c r="D305" s="164"/>
      <c r="E305" s="164">
        <v>202.0</v>
      </c>
      <c r="F305" s="165">
        <f t="shared" si="5"/>
        <v>172234.7275</v>
      </c>
      <c r="G305" s="166">
        <f t="shared" si="2"/>
        <v>99.03496834</v>
      </c>
      <c r="H305" s="167">
        <f t="shared" si="3"/>
        <v>13825.7994</v>
      </c>
      <c r="I305" s="168">
        <f t="shared" si="6"/>
        <v>8376.099632</v>
      </c>
      <c r="J305" s="1"/>
      <c r="K305" s="164"/>
      <c r="L305" s="164">
        <v>202.0</v>
      </c>
      <c r="M305" s="165">
        <f t="shared" si="7"/>
        <v>158408.9281</v>
      </c>
      <c r="N305" s="166">
        <f t="shared" si="8"/>
        <v>100.8485204</v>
      </c>
      <c r="O305" s="169">
        <f t="shared" si="9"/>
        <v>13733.94563</v>
      </c>
      <c r="P305" s="170">
        <f t="shared" ref="P305:Q305" si="210">P304+$L$7</f>
        <v>98610.20594</v>
      </c>
      <c r="Q305" s="171">
        <f t="shared" si="210"/>
        <v>98610.20594</v>
      </c>
      <c r="R305" s="172"/>
    </row>
    <row r="306" ht="14.25" customHeight="1" outlineLevel="1">
      <c r="A306" s="1"/>
      <c r="B306" s="163"/>
      <c r="C306" s="163"/>
      <c r="D306" s="164"/>
      <c r="E306" s="164">
        <v>203.0</v>
      </c>
      <c r="F306" s="165">
        <f t="shared" si="5"/>
        <v>173599.9023</v>
      </c>
      <c r="G306" s="166">
        <f t="shared" si="2"/>
        <v>99.81994383</v>
      </c>
      <c r="H306" s="167">
        <f t="shared" si="3"/>
        <v>13905.79629</v>
      </c>
      <c r="I306" s="168">
        <f t="shared" si="6"/>
        <v>8475.919576</v>
      </c>
      <c r="J306" s="1"/>
      <c r="K306" s="164"/>
      <c r="L306" s="164">
        <v>203.0</v>
      </c>
      <c r="M306" s="165">
        <f t="shared" si="7"/>
        <v>159694.106</v>
      </c>
      <c r="N306" s="166">
        <f t="shared" si="8"/>
        <v>101.5874977</v>
      </c>
      <c r="O306" s="169">
        <f t="shared" si="9"/>
        <v>13835.53313</v>
      </c>
      <c r="P306" s="170">
        <f t="shared" ref="P306:Q306" si="211">P305+$L$7</f>
        <v>99098.37528</v>
      </c>
      <c r="Q306" s="171">
        <f t="shared" si="211"/>
        <v>99098.37528</v>
      </c>
      <c r="R306" s="172"/>
    </row>
    <row r="307" ht="14.25" customHeight="1" outlineLevel="1">
      <c r="A307" s="1"/>
      <c r="B307" s="163"/>
      <c r="C307" s="163"/>
      <c r="D307" s="164">
        <v>17.0</v>
      </c>
      <c r="E307" s="164">
        <v>204.0</v>
      </c>
      <c r="F307" s="165">
        <f t="shared" si="5"/>
        <v>174972.0066</v>
      </c>
      <c r="G307" s="166">
        <f t="shared" si="2"/>
        <v>100.6089038</v>
      </c>
      <c r="H307" s="167">
        <f t="shared" si="3"/>
        <v>13986.19923</v>
      </c>
      <c r="I307" s="168">
        <f t="shared" si="6"/>
        <v>8576.52848</v>
      </c>
      <c r="J307" s="1"/>
      <c r="K307" s="164">
        <v>17.0</v>
      </c>
      <c r="L307" s="164">
        <v>204.0</v>
      </c>
      <c r="M307" s="165">
        <f t="shared" si="7"/>
        <v>160985.8074</v>
      </c>
      <c r="N307" s="166">
        <f t="shared" si="8"/>
        <v>102.330226</v>
      </c>
      <c r="O307" s="169">
        <f t="shared" si="9"/>
        <v>13937.86336</v>
      </c>
      <c r="P307" s="170">
        <f t="shared" ref="P307:Q307" si="212">P306+$L$7</f>
        <v>99586.54462</v>
      </c>
      <c r="Q307" s="171">
        <f t="shared" si="212"/>
        <v>99586.54462</v>
      </c>
      <c r="R307" s="172"/>
    </row>
    <row r="308" ht="14.25" customHeight="1" outlineLevel="1">
      <c r="A308" s="1"/>
      <c r="B308" s="163"/>
      <c r="C308" s="163"/>
      <c r="D308" s="164"/>
      <c r="E308" s="164">
        <v>205.0</v>
      </c>
      <c r="F308" s="165">
        <f t="shared" si="5"/>
        <v>176351.0755</v>
      </c>
      <c r="G308" s="166">
        <f t="shared" si="2"/>
        <v>101.4018684</v>
      </c>
      <c r="H308" s="167">
        <f t="shared" si="3"/>
        <v>14067.01029</v>
      </c>
      <c r="I308" s="168">
        <f t="shared" si="6"/>
        <v>8677.930348</v>
      </c>
      <c r="J308" s="1"/>
      <c r="K308" s="164"/>
      <c r="L308" s="164">
        <v>205.0</v>
      </c>
      <c r="M308" s="165">
        <f t="shared" si="7"/>
        <v>162284.0652</v>
      </c>
      <c r="N308" s="166">
        <f t="shared" si="8"/>
        <v>103.0767242</v>
      </c>
      <c r="O308" s="169">
        <f t="shared" si="9"/>
        <v>14040.94008</v>
      </c>
      <c r="P308" s="170">
        <f t="shared" ref="P308:Q308" si="213">P307+$L$7</f>
        <v>100074.714</v>
      </c>
      <c r="Q308" s="171">
        <f t="shared" si="213"/>
        <v>100074.714</v>
      </c>
      <c r="R308" s="172"/>
    </row>
    <row r="309" ht="14.25" customHeight="1" outlineLevel="1">
      <c r="A309" s="1"/>
      <c r="B309" s="163"/>
      <c r="C309" s="163"/>
      <c r="D309" s="164"/>
      <c r="E309" s="164">
        <v>206.0</v>
      </c>
      <c r="F309" s="165">
        <f t="shared" si="5"/>
        <v>177737.1444</v>
      </c>
      <c r="G309" s="166">
        <f t="shared" si="2"/>
        <v>102.198858</v>
      </c>
      <c r="H309" s="167">
        <f t="shared" si="3"/>
        <v>14148.23154</v>
      </c>
      <c r="I309" s="168">
        <f t="shared" si="6"/>
        <v>8780.129206</v>
      </c>
      <c r="J309" s="1"/>
      <c r="K309" s="164"/>
      <c r="L309" s="164">
        <v>206.0</v>
      </c>
      <c r="M309" s="165">
        <f t="shared" si="7"/>
        <v>163588.9129</v>
      </c>
      <c r="N309" s="166">
        <f t="shared" si="8"/>
        <v>103.8270116</v>
      </c>
      <c r="O309" s="169">
        <f t="shared" si="9"/>
        <v>14144.76709</v>
      </c>
      <c r="P309" s="170">
        <f t="shared" ref="P309:Q309" si="214">P308+$L$7</f>
        <v>100562.8833</v>
      </c>
      <c r="Q309" s="171">
        <f t="shared" si="214"/>
        <v>100562.8833</v>
      </c>
      <c r="R309" s="172"/>
    </row>
    <row r="310" ht="14.25" customHeight="1" outlineLevel="1">
      <c r="A310" s="1"/>
      <c r="B310" s="163"/>
      <c r="C310" s="163"/>
      <c r="D310" s="164"/>
      <c r="E310" s="164">
        <v>207.0</v>
      </c>
      <c r="F310" s="165">
        <f t="shared" si="5"/>
        <v>179130.2489</v>
      </c>
      <c r="G310" s="166">
        <f t="shared" si="2"/>
        <v>102.9998931</v>
      </c>
      <c r="H310" s="167">
        <f t="shared" si="3"/>
        <v>14229.86505</v>
      </c>
      <c r="I310" s="168">
        <f t="shared" si="6"/>
        <v>8883.129099</v>
      </c>
      <c r="J310" s="1"/>
      <c r="K310" s="164"/>
      <c r="L310" s="164">
        <v>207.0</v>
      </c>
      <c r="M310" s="165">
        <f t="shared" si="7"/>
        <v>164900.3838</v>
      </c>
      <c r="N310" s="166">
        <f t="shared" si="8"/>
        <v>104.5811074</v>
      </c>
      <c r="O310" s="169">
        <f t="shared" si="9"/>
        <v>14249.3482</v>
      </c>
      <c r="P310" s="170">
        <f t="shared" ref="P310:Q310" si="215">P309+$L$7</f>
        <v>101051.0526</v>
      </c>
      <c r="Q310" s="171">
        <f t="shared" si="215"/>
        <v>101051.0526</v>
      </c>
      <c r="R310" s="172"/>
    </row>
    <row r="311" ht="14.25" customHeight="1" outlineLevel="1">
      <c r="A311" s="1"/>
      <c r="B311" s="163"/>
      <c r="C311" s="163"/>
      <c r="D311" s="164"/>
      <c r="E311" s="164">
        <v>208.0</v>
      </c>
      <c r="F311" s="165">
        <f t="shared" si="5"/>
        <v>180530.4246</v>
      </c>
      <c r="G311" s="166">
        <f t="shared" si="2"/>
        <v>103.8049942</v>
      </c>
      <c r="H311" s="167">
        <f t="shared" si="3"/>
        <v>14311.91293</v>
      </c>
      <c r="I311" s="168">
        <f t="shared" si="6"/>
        <v>8986.934093</v>
      </c>
      <c r="J311" s="1"/>
      <c r="K311" s="164"/>
      <c r="L311" s="164">
        <v>208.0</v>
      </c>
      <c r="M311" s="165">
        <f t="shared" si="7"/>
        <v>166218.5117</v>
      </c>
      <c r="N311" s="166">
        <f t="shared" si="8"/>
        <v>105.3390309</v>
      </c>
      <c r="O311" s="169">
        <f t="shared" si="9"/>
        <v>14354.68723</v>
      </c>
      <c r="P311" s="170">
        <f t="shared" ref="P311:Q311" si="216">P310+$L$7</f>
        <v>101539.222</v>
      </c>
      <c r="Q311" s="171">
        <f t="shared" si="216"/>
        <v>101539.222</v>
      </c>
      <c r="R311" s="172"/>
    </row>
    <row r="312" ht="14.25" customHeight="1" outlineLevel="1">
      <c r="A312" s="1"/>
      <c r="B312" s="163"/>
      <c r="C312" s="163"/>
      <c r="D312" s="164"/>
      <c r="E312" s="164">
        <v>209.0</v>
      </c>
      <c r="F312" s="165">
        <f t="shared" si="5"/>
        <v>181937.7075</v>
      </c>
      <c r="G312" s="166">
        <f t="shared" si="2"/>
        <v>104.6141818</v>
      </c>
      <c r="H312" s="167">
        <f t="shared" si="3"/>
        <v>14394.37728</v>
      </c>
      <c r="I312" s="168">
        <f t="shared" si="6"/>
        <v>9091.548275</v>
      </c>
      <c r="J312" s="1"/>
      <c r="K312" s="164"/>
      <c r="L312" s="164">
        <v>209.0</v>
      </c>
      <c r="M312" s="165">
        <f t="shared" si="7"/>
        <v>167543.3302</v>
      </c>
      <c r="N312" s="166">
        <f t="shared" si="8"/>
        <v>106.1008016</v>
      </c>
      <c r="O312" s="169">
        <f t="shared" si="9"/>
        <v>14460.78803</v>
      </c>
      <c r="P312" s="170">
        <f t="shared" ref="P312:Q312" si="217">P311+$L$7</f>
        <v>102027.3913</v>
      </c>
      <c r="Q312" s="171">
        <f t="shared" si="217"/>
        <v>102027.3913</v>
      </c>
      <c r="R312" s="172"/>
    </row>
    <row r="313" ht="14.25" customHeight="1" outlineLevel="1">
      <c r="A313" s="1"/>
      <c r="B313" s="163"/>
      <c r="C313" s="163"/>
      <c r="D313" s="164"/>
      <c r="E313" s="164">
        <v>210.0</v>
      </c>
      <c r="F313" s="165">
        <f t="shared" si="5"/>
        <v>183352.1336</v>
      </c>
      <c r="G313" s="166">
        <f t="shared" si="2"/>
        <v>105.4274768</v>
      </c>
      <c r="H313" s="167">
        <f t="shared" si="3"/>
        <v>14477.26021</v>
      </c>
      <c r="I313" s="168">
        <f t="shared" si="6"/>
        <v>9196.975752</v>
      </c>
      <c r="J313" s="1"/>
      <c r="K313" s="164"/>
      <c r="L313" s="164">
        <v>210.0</v>
      </c>
      <c r="M313" s="165">
        <f t="shared" si="7"/>
        <v>168874.8734</v>
      </c>
      <c r="N313" s="166">
        <f t="shared" si="8"/>
        <v>106.8664389</v>
      </c>
      <c r="O313" s="169">
        <f t="shared" si="9"/>
        <v>14567.65447</v>
      </c>
      <c r="P313" s="170">
        <f t="shared" ref="P313:Q313" si="218">P312+$L$7</f>
        <v>102515.5606</v>
      </c>
      <c r="Q313" s="171">
        <f t="shared" si="218"/>
        <v>102515.5606</v>
      </c>
      <c r="R313" s="172"/>
    </row>
    <row r="314" ht="14.25" customHeight="1" outlineLevel="1">
      <c r="A314" s="1"/>
      <c r="B314" s="163"/>
      <c r="C314" s="163"/>
      <c r="D314" s="164"/>
      <c r="E314" s="164">
        <v>211.0</v>
      </c>
      <c r="F314" s="165">
        <f t="shared" si="5"/>
        <v>184773.7391</v>
      </c>
      <c r="G314" s="166">
        <f t="shared" si="2"/>
        <v>106.2449</v>
      </c>
      <c r="H314" s="167">
        <f t="shared" si="3"/>
        <v>14560.56384</v>
      </c>
      <c r="I314" s="168">
        <f t="shared" si="6"/>
        <v>9303.220652</v>
      </c>
      <c r="J314" s="1"/>
      <c r="K314" s="164"/>
      <c r="L314" s="164">
        <v>211.0</v>
      </c>
      <c r="M314" s="165">
        <f t="shared" si="7"/>
        <v>170213.1753</v>
      </c>
      <c r="N314" s="166">
        <f t="shared" si="8"/>
        <v>107.6359625</v>
      </c>
      <c r="O314" s="169">
        <f t="shared" si="9"/>
        <v>14675.29043</v>
      </c>
      <c r="P314" s="170">
        <f t="shared" ref="P314:Q314" si="219">P313+$L$7</f>
        <v>103003.73</v>
      </c>
      <c r="Q314" s="171">
        <f t="shared" si="219"/>
        <v>103003.73</v>
      </c>
      <c r="R314" s="172"/>
    </row>
    <row r="315" ht="14.25" customHeight="1" outlineLevel="1">
      <c r="A315" s="1"/>
      <c r="B315" s="163"/>
      <c r="C315" s="163"/>
      <c r="D315" s="164"/>
      <c r="E315" s="164">
        <v>212.0</v>
      </c>
      <c r="F315" s="165">
        <f t="shared" si="5"/>
        <v>186202.5606</v>
      </c>
      <c r="G315" s="166">
        <f t="shared" si="2"/>
        <v>107.0664723</v>
      </c>
      <c r="H315" s="167">
        <f t="shared" si="3"/>
        <v>14644.29031</v>
      </c>
      <c r="I315" s="168">
        <f t="shared" si="6"/>
        <v>9410.287124</v>
      </c>
      <c r="J315" s="1"/>
      <c r="K315" s="164"/>
      <c r="L315" s="164">
        <v>212.0</v>
      </c>
      <c r="M315" s="165">
        <f t="shared" si="7"/>
        <v>171558.2703</v>
      </c>
      <c r="N315" s="166">
        <f t="shared" si="8"/>
        <v>108.4093921</v>
      </c>
      <c r="O315" s="169">
        <f t="shared" si="9"/>
        <v>14783.69983</v>
      </c>
      <c r="P315" s="170">
        <f t="shared" ref="P315:Q315" si="220">P314+$L$7</f>
        <v>103491.8993</v>
      </c>
      <c r="Q315" s="171">
        <f t="shared" si="220"/>
        <v>103491.8993</v>
      </c>
      <c r="R315" s="172"/>
    </row>
    <row r="316" ht="14.25" customHeight="1" outlineLevel="1">
      <c r="A316" s="1"/>
      <c r="B316" s="163"/>
      <c r="C316" s="163"/>
      <c r="D316" s="164"/>
      <c r="E316" s="164">
        <v>213.0</v>
      </c>
      <c r="F316" s="165">
        <f t="shared" si="5"/>
        <v>187638.6346</v>
      </c>
      <c r="G316" s="166">
        <f t="shared" si="2"/>
        <v>107.8922149</v>
      </c>
      <c r="H316" s="167">
        <f t="shared" si="3"/>
        <v>14728.44177</v>
      </c>
      <c r="I316" s="168">
        <f t="shared" si="6"/>
        <v>9518.179339</v>
      </c>
      <c r="J316" s="1"/>
      <c r="K316" s="164"/>
      <c r="L316" s="164">
        <v>213.0</v>
      </c>
      <c r="M316" s="165">
        <f t="shared" si="7"/>
        <v>172910.1928</v>
      </c>
      <c r="N316" s="166">
        <f t="shared" si="8"/>
        <v>109.1867476</v>
      </c>
      <c r="O316" s="169">
        <f t="shared" si="9"/>
        <v>14892.88657</v>
      </c>
      <c r="P316" s="170">
        <f t="shared" ref="P316:Q316" si="221">P315+$L$7</f>
        <v>103980.0686</v>
      </c>
      <c r="Q316" s="171">
        <f t="shared" si="221"/>
        <v>103980.0686</v>
      </c>
      <c r="R316" s="172"/>
    </row>
    <row r="317" ht="14.25" customHeight="1" outlineLevel="1">
      <c r="A317" s="1"/>
      <c r="B317" s="163"/>
      <c r="C317" s="163"/>
      <c r="D317" s="164"/>
      <c r="E317" s="164">
        <v>214.0</v>
      </c>
      <c r="F317" s="165">
        <f t="shared" si="5"/>
        <v>189081.998</v>
      </c>
      <c r="G317" s="166">
        <f t="shared" si="2"/>
        <v>108.7221489</v>
      </c>
      <c r="H317" s="167">
        <f t="shared" si="3"/>
        <v>14813.02038</v>
      </c>
      <c r="I317" s="168">
        <f t="shared" si="6"/>
        <v>9626.901488</v>
      </c>
      <c r="J317" s="1"/>
      <c r="K317" s="164"/>
      <c r="L317" s="164">
        <v>214.0</v>
      </c>
      <c r="M317" s="165">
        <f t="shared" si="7"/>
        <v>174268.9776</v>
      </c>
      <c r="N317" s="166">
        <f t="shared" si="8"/>
        <v>109.9680489</v>
      </c>
      <c r="O317" s="169">
        <f t="shared" si="9"/>
        <v>15002.85462</v>
      </c>
      <c r="P317" s="170">
        <f t="shared" ref="P317:Q317" si="222">P316+$L$7</f>
        <v>104468.238</v>
      </c>
      <c r="Q317" s="171">
        <f t="shared" si="222"/>
        <v>104468.238</v>
      </c>
      <c r="R317" s="172"/>
    </row>
    <row r="318" ht="14.25" customHeight="1" outlineLevel="1">
      <c r="A318" s="1"/>
      <c r="B318" s="163"/>
      <c r="C318" s="163"/>
      <c r="D318" s="164"/>
      <c r="E318" s="164">
        <v>215.0</v>
      </c>
      <c r="F318" s="165">
        <f t="shared" si="5"/>
        <v>190532.6877</v>
      </c>
      <c r="G318" s="166">
        <f t="shared" si="2"/>
        <v>109.5562955</v>
      </c>
      <c r="H318" s="167">
        <f t="shared" si="3"/>
        <v>14898.02829</v>
      </c>
      <c r="I318" s="168">
        <f t="shared" si="6"/>
        <v>9736.457783</v>
      </c>
      <c r="J318" s="1"/>
      <c r="K318" s="164"/>
      <c r="L318" s="164">
        <v>215.0</v>
      </c>
      <c r="M318" s="165">
        <f t="shared" si="7"/>
        <v>175634.6595</v>
      </c>
      <c r="N318" s="166">
        <f t="shared" si="8"/>
        <v>110.7533159</v>
      </c>
      <c r="O318" s="169">
        <f t="shared" si="9"/>
        <v>15113.60794</v>
      </c>
      <c r="P318" s="170">
        <f t="shared" ref="P318:Q318" si="223">P317+$L$7</f>
        <v>104956.4073</v>
      </c>
      <c r="Q318" s="171">
        <f t="shared" si="223"/>
        <v>104956.4073</v>
      </c>
      <c r="R318" s="172"/>
    </row>
    <row r="319" ht="14.25" customHeight="1" outlineLevel="1">
      <c r="A319" s="1"/>
      <c r="B319" s="163"/>
      <c r="C319" s="163"/>
      <c r="D319" s="164">
        <v>18.0</v>
      </c>
      <c r="E319" s="164">
        <v>216.0</v>
      </c>
      <c r="F319" s="165">
        <f t="shared" si="5"/>
        <v>191990.741</v>
      </c>
      <c r="G319" s="166">
        <f t="shared" si="2"/>
        <v>110.3946761</v>
      </c>
      <c r="H319" s="167">
        <f t="shared" si="3"/>
        <v>14983.4677</v>
      </c>
      <c r="I319" s="168">
        <f t="shared" si="6"/>
        <v>9846.85246</v>
      </c>
      <c r="J319" s="1"/>
      <c r="K319" s="164">
        <v>18.0</v>
      </c>
      <c r="L319" s="164">
        <v>216.0</v>
      </c>
      <c r="M319" s="165">
        <f t="shared" si="7"/>
        <v>177007.2733</v>
      </c>
      <c r="N319" s="166">
        <f t="shared" si="8"/>
        <v>111.5425689</v>
      </c>
      <c r="O319" s="169">
        <f t="shared" si="9"/>
        <v>15225.15051</v>
      </c>
      <c r="P319" s="170">
        <f t="shared" ref="P319:Q319" si="224">P318+$L$7</f>
        <v>105444.5767</v>
      </c>
      <c r="Q319" s="171">
        <f t="shared" si="224"/>
        <v>105444.5767</v>
      </c>
      <c r="R319" s="172"/>
    </row>
    <row r="320" ht="14.25" customHeight="1" outlineLevel="1">
      <c r="A320" s="1"/>
      <c r="B320" s="163"/>
      <c r="C320" s="163"/>
      <c r="D320" s="164"/>
      <c r="E320" s="164">
        <v>217.0</v>
      </c>
      <c r="F320" s="165">
        <f t="shared" si="5"/>
        <v>193456.1953</v>
      </c>
      <c r="G320" s="166">
        <f t="shared" si="2"/>
        <v>111.2373123</v>
      </c>
      <c r="H320" s="167">
        <f t="shared" si="3"/>
        <v>15069.34078</v>
      </c>
      <c r="I320" s="168">
        <f t="shared" si="6"/>
        <v>9958.089772</v>
      </c>
      <c r="J320" s="1"/>
      <c r="K320" s="164"/>
      <c r="L320" s="164">
        <v>217.0</v>
      </c>
      <c r="M320" s="165">
        <f t="shared" si="7"/>
        <v>178386.8545</v>
      </c>
      <c r="N320" s="166">
        <f t="shared" si="8"/>
        <v>112.335828</v>
      </c>
      <c r="O320" s="169">
        <f t="shared" si="9"/>
        <v>15337.48634</v>
      </c>
      <c r="P320" s="170">
        <f t="shared" ref="P320:Q320" si="225">P319+$L$7</f>
        <v>105932.746</v>
      </c>
      <c r="Q320" s="171">
        <f t="shared" si="225"/>
        <v>105932.746</v>
      </c>
      <c r="R320" s="172"/>
    </row>
    <row r="321" ht="14.25" customHeight="1" outlineLevel="1">
      <c r="A321" s="1"/>
      <c r="B321" s="163"/>
      <c r="C321" s="163"/>
      <c r="D321" s="164"/>
      <c r="E321" s="164">
        <v>218.0</v>
      </c>
      <c r="F321" s="165">
        <f t="shared" si="5"/>
        <v>194929.088</v>
      </c>
      <c r="G321" s="166">
        <f t="shared" si="2"/>
        <v>112.0842256</v>
      </c>
      <c r="H321" s="167">
        <f t="shared" si="3"/>
        <v>15155.64976</v>
      </c>
      <c r="I321" s="168">
        <f t="shared" si="6"/>
        <v>10070.174</v>
      </c>
      <c r="J321" s="1"/>
      <c r="K321" s="164"/>
      <c r="L321" s="164">
        <v>218.0</v>
      </c>
      <c r="M321" s="165">
        <f t="shared" si="7"/>
        <v>179773.4382</v>
      </c>
      <c r="N321" s="166">
        <f t="shared" si="8"/>
        <v>113.1331137</v>
      </c>
      <c r="O321" s="169">
        <f t="shared" si="9"/>
        <v>15450.61945</v>
      </c>
      <c r="P321" s="170">
        <f t="shared" ref="P321:Q321" si="226">P320+$L$7</f>
        <v>106420.9153</v>
      </c>
      <c r="Q321" s="171">
        <f t="shared" si="226"/>
        <v>106420.9153</v>
      </c>
      <c r="R321" s="172"/>
    </row>
    <row r="322" ht="14.25" customHeight="1" outlineLevel="1">
      <c r="A322" s="1"/>
      <c r="B322" s="163"/>
      <c r="C322" s="163"/>
      <c r="D322" s="164"/>
      <c r="E322" s="164">
        <v>219.0</v>
      </c>
      <c r="F322" s="165">
        <f t="shared" si="5"/>
        <v>196409.4569</v>
      </c>
      <c r="G322" s="166">
        <f t="shared" si="2"/>
        <v>112.9354377</v>
      </c>
      <c r="H322" s="167">
        <f t="shared" si="3"/>
        <v>15242.39682</v>
      </c>
      <c r="I322" s="168">
        <f t="shared" si="6"/>
        <v>10183.10944</v>
      </c>
      <c r="J322" s="1"/>
      <c r="K322" s="164"/>
      <c r="L322" s="164">
        <v>219.0</v>
      </c>
      <c r="M322" s="165">
        <f t="shared" si="7"/>
        <v>181167.0601</v>
      </c>
      <c r="N322" s="166">
        <f t="shared" si="8"/>
        <v>113.9344463</v>
      </c>
      <c r="O322" s="169">
        <f t="shared" si="9"/>
        <v>15564.55389</v>
      </c>
      <c r="P322" s="170">
        <f t="shared" ref="P322:Q322" si="227">P321+$L$7</f>
        <v>106909.0847</v>
      </c>
      <c r="Q322" s="171">
        <f t="shared" si="227"/>
        <v>106909.0847</v>
      </c>
      <c r="R322" s="172"/>
    </row>
    <row r="323" ht="14.25" customHeight="1" outlineLevel="1">
      <c r="A323" s="1"/>
      <c r="B323" s="163"/>
      <c r="C323" s="163"/>
      <c r="D323" s="164"/>
      <c r="E323" s="164">
        <v>220.0</v>
      </c>
      <c r="F323" s="165">
        <f t="shared" si="5"/>
        <v>197897.3401</v>
      </c>
      <c r="G323" s="166">
        <f t="shared" si="2"/>
        <v>113.7909705</v>
      </c>
      <c r="H323" s="167">
        <f t="shared" si="3"/>
        <v>15329.58421</v>
      </c>
      <c r="I323" s="168">
        <f t="shared" si="6"/>
        <v>10296.90041</v>
      </c>
      <c r="J323" s="1"/>
      <c r="K323" s="164"/>
      <c r="L323" s="164">
        <v>220.0</v>
      </c>
      <c r="M323" s="165">
        <f t="shared" si="7"/>
        <v>182567.7559</v>
      </c>
      <c r="N323" s="166">
        <f t="shared" si="8"/>
        <v>114.7398463</v>
      </c>
      <c r="O323" s="169">
        <f t="shared" si="9"/>
        <v>15679.29374</v>
      </c>
      <c r="P323" s="170">
        <f t="shared" ref="P323:Q323" si="228">P322+$L$7</f>
        <v>107397.254</v>
      </c>
      <c r="Q323" s="171">
        <f t="shared" si="228"/>
        <v>107397.254</v>
      </c>
      <c r="R323" s="172"/>
    </row>
    <row r="324" ht="14.25" customHeight="1" outlineLevel="1">
      <c r="A324" s="1"/>
      <c r="B324" s="163"/>
      <c r="C324" s="163"/>
      <c r="D324" s="164"/>
      <c r="E324" s="164">
        <v>221.0</v>
      </c>
      <c r="F324" s="165">
        <f t="shared" si="5"/>
        <v>199392.7756</v>
      </c>
      <c r="G324" s="166">
        <f t="shared" si="2"/>
        <v>114.6508459</v>
      </c>
      <c r="H324" s="167">
        <f t="shared" si="3"/>
        <v>15417.21414</v>
      </c>
      <c r="I324" s="168">
        <f t="shared" si="6"/>
        <v>10411.55125</v>
      </c>
      <c r="J324" s="1"/>
      <c r="K324" s="164"/>
      <c r="L324" s="164">
        <v>221.0</v>
      </c>
      <c r="M324" s="165">
        <f t="shared" si="7"/>
        <v>183975.5614</v>
      </c>
      <c r="N324" s="166">
        <f t="shared" si="8"/>
        <v>115.5493345</v>
      </c>
      <c r="O324" s="169">
        <f t="shared" si="9"/>
        <v>15794.84308</v>
      </c>
      <c r="P324" s="170">
        <f t="shared" ref="P324:Q324" si="229">P323+$L$7</f>
        <v>107885.4233</v>
      </c>
      <c r="Q324" s="171">
        <f t="shared" si="229"/>
        <v>107885.4233</v>
      </c>
      <c r="R324" s="172"/>
    </row>
    <row r="325" ht="14.25" customHeight="1" outlineLevel="1">
      <c r="A325" s="1"/>
      <c r="B325" s="163"/>
      <c r="C325" s="163"/>
      <c r="D325" s="164"/>
      <c r="E325" s="164">
        <v>222.0</v>
      </c>
      <c r="F325" s="165">
        <f t="shared" si="5"/>
        <v>200895.8017</v>
      </c>
      <c r="G325" s="166">
        <f t="shared" si="2"/>
        <v>115.515086</v>
      </c>
      <c r="H325" s="167">
        <f t="shared" si="3"/>
        <v>15505.28888</v>
      </c>
      <c r="I325" s="168">
        <f t="shared" si="6"/>
        <v>10527.06634</v>
      </c>
      <c r="J325" s="1"/>
      <c r="K325" s="164"/>
      <c r="L325" s="164">
        <v>222.0</v>
      </c>
      <c r="M325" s="165">
        <f t="shared" si="7"/>
        <v>185390.5128</v>
      </c>
      <c r="N325" s="166">
        <f t="shared" si="8"/>
        <v>116.3629316</v>
      </c>
      <c r="O325" s="169">
        <f t="shared" si="9"/>
        <v>15911.20601</v>
      </c>
      <c r="P325" s="170">
        <f t="shared" ref="P325:Q325" si="230">P324+$L$7</f>
        <v>108373.5927</v>
      </c>
      <c r="Q325" s="171">
        <f t="shared" si="230"/>
        <v>108373.5927</v>
      </c>
      <c r="R325" s="172"/>
    </row>
    <row r="326" ht="14.25" customHeight="1" outlineLevel="1">
      <c r="A326" s="1"/>
      <c r="B326" s="163"/>
      <c r="C326" s="163"/>
      <c r="D326" s="164"/>
      <c r="E326" s="164">
        <v>223.0</v>
      </c>
      <c r="F326" s="165">
        <f t="shared" si="5"/>
        <v>202406.4571</v>
      </c>
      <c r="G326" s="166">
        <f t="shared" si="2"/>
        <v>116.3837128</v>
      </c>
      <c r="H326" s="167">
        <f t="shared" si="3"/>
        <v>15593.81068</v>
      </c>
      <c r="I326" s="168">
        <f t="shared" si="6"/>
        <v>10643.45005</v>
      </c>
      <c r="J326" s="1"/>
      <c r="K326" s="164"/>
      <c r="L326" s="164">
        <v>223.0</v>
      </c>
      <c r="M326" s="165">
        <f t="shared" si="7"/>
        <v>186812.6464</v>
      </c>
      <c r="N326" s="166">
        <f t="shared" si="8"/>
        <v>117.1806584</v>
      </c>
      <c r="O326" s="169">
        <f t="shared" si="9"/>
        <v>16028.38667</v>
      </c>
      <c r="P326" s="170">
        <f t="shared" ref="P326:Q326" si="231">P325+$L$7</f>
        <v>108861.762</v>
      </c>
      <c r="Q326" s="171">
        <f t="shared" si="231"/>
        <v>108861.762</v>
      </c>
      <c r="R326" s="172"/>
    </row>
    <row r="327" ht="14.25" customHeight="1" outlineLevel="1">
      <c r="A327" s="1"/>
      <c r="B327" s="163"/>
      <c r="C327" s="163"/>
      <c r="D327" s="164"/>
      <c r="E327" s="164">
        <v>224.0</v>
      </c>
      <c r="F327" s="165">
        <f t="shared" si="5"/>
        <v>203924.7804</v>
      </c>
      <c r="G327" s="166">
        <f t="shared" si="2"/>
        <v>117.2567487</v>
      </c>
      <c r="H327" s="167">
        <f t="shared" si="3"/>
        <v>15682.78181</v>
      </c>
      <c r="I327" s="168">
        <f t="shared" si="6"/>
        <v>10760.7068</v>
      </c>
      <c r="J327" s="1"/>
      <c r="K327" s="164"/>
      <c r="L327" s="164">
        <v>224.0</v>
      </c>
      <c r="M327" s="165">
        <f t="shared" si="7"/>
        <v>188241.9986</v>
      </c>
      <c r="N327" s="166">
        <f t="shared" si="8"/>
        <v>118.0025359</v>
      </c>
      <c r="O327" s="169">
        <f t="shared" si="9"/>
        <v>16146.3892</v>
      </c>
      <c r="P327" s="170">
        <f t="shared" ref="P327:Q327" si="232">P326+$L$7</f>
        <v>109349.9313</v>
      </c>
      <c r="Q327" s="171">
        <f t="shared" si="232"/>
        <v>109349.9313</v>
      </c>
      <c r="R327" s="172"/>
    </row>
    <row r="328" ht="14.25" customHeight="1" outlineLevel="1">
      <c r="A328" s="1"/>
      <c r="B328" s="163"/>
      <c r="C328" s="163"/>
      <c r="D328" s="164"/>
      <c r="E328" s="164">
        <v>225.0</v>
      </c>
      <c r="F328" s="165">
        <f t="shared" si="5"/>
        <v>205450.8105</v>
      </c>
      <c r="G328" s="166">
        <f t="shared" si="2"/>
        <v>118.134216</v>
      </c>
      <c r="H328" s="167">
        <f t="shared" si="3"/>
        <v>15772.20454</v>
      </c>
      <c r="I328" s="168">
        <f t="shared" si="6"/>
        <v>10878.84102</v>
      </c>
      <c r="J328" s="1"/>
      <c r="K328" s="164"/>
      <c r="L328" s="164">
        <v>225.0</v>
      </c>
      <c r="M328" s="165">
        <f t="shared" si="7"/>
        <v>189678.606</v>
      </c>
      <c r="N328" s="166">
        <f t="shared" si="8"/>
        <v>118.8285852</v>
      </c>
      <c r="O328" s="169">
        <f t="shared" si="9"/>
        <v>16265.21779</v>
      </c>
      <c r="P328" s="170">
        <f t="shared" ref="P328:Q328" si="233">P327+$L$7</f>
        <v>109838.1007</v>
      </c>
      <c r="Q328" s="171">
        <f t="shared" si="233"/>
        <v>109838.1007</v>
      </c>
      <c r="R328" s="172"/>
    </row>
    <row r="329" ht="14.25" customHeight="1" outlineLevel="1">
      <c r="A329" s="1"/>
      <c r="B329" s="163"/>
      <c r="C329" s="163"/>
      <c r="D329" s="164"/>
      <c r="E329" s="164">
        <v>226.0</v>
      </c>
      <c r="F329" s="165">
        <f t="shared" si="5"/>
        <v>206984.5866</v>
      </c>
      <c r="G329" s="166">
        <f t="shared" si="2"/>
        <v>119.0161373</v>
      </c>
      <c r="H329" s="167">
        <f t="shared" si="3"/>
        <v>15862.08117</v>
      </c>
      <c r="I329" s="168">
        <f t="shared" si="6"/>
        <v>10997.85715</v>
      </c>
      <c r="J329" s="1"/>
      <c r="K329" s="164"/>
      <c r="L329" s="164">
        <v>226.0</v>
      </c>
      <c r="M329" s="165">
        <f t="shared" si="7"/>
        <v>191122.5054</v>
      </c>
      <c r="N329" s="166">
        <f t="shared" si="8"/>
        <v>119.6588274</v>
      </c>
      <c r="O329" s="169">
        <f t="shared" si="9"/>
        <v>16384.87661</v>
      </c>
      <c r="P329" s="170">
        <f t="shared" ref="P329:Q329" si="234">P328+$L$7</f>
        <v>110326.27</v>
      </c>
      <c r="Q329" s="171">
        <f t="shared" si="234"/>
        <v>110326.27</v>
      </c>
      <c r="R329" s="172"/>
    </row>
    <row r="330" ht="14.25" customHeight="1" outlineLevel="1">
      <c r="A330" s="1"/>
      <c r="B330" s="163"/>
      <c r="C330" s="163"/>
      <c r="D330" s="164"/>
      <c r="E330" s="164">
        <v>227.0</v>
      </c>
      <c r="F330" s="165">
        <f t="shared" si="5"/>
        <v>208526.148</v>
      </c>
      <c r="G330" s="166">
        <f t="shared" si="2"/>
        <v>119.9025351</v>
      </c>
      <c r="H330" s="167">
        <f t="shared" si="3"/>
        <v>15952.41401</v>
      </c>
      <c r="I330" s="168">
        <f t="shared" si="6"/>
        <v>11117.75969</v>
      </c>
      <c r="J330" s="1"/>
      <c r="K330" s="164"/>
      <c r="L330" s="164">
        <v>227.0</v>
      </c>
      <c r="M330" s="165">
        <f t="shared" si="7"/>
        <v>192573.734</v>
      </c>
      <c r="N330" s="166">
        <f t="shared" si="8"/>
        <v>120.4932838</v>
      </c>
      <c r="O330" s="169">
        <f t="shared" si="9"/>
        <v>16505.3699</v>
      </c>
      <c r="P330" s="170">
        <f t="shared" ref="P330:Q330" si="235">P329+$L$7</f>
        <v>110814.4394</v>
      </c>
      <c r="Q330" s="171">
        <f t="shared" si="235"/>
        <v>110814.4394</v>
      </c>
      <c r="R330" s="172"/>
    </row>
    <row r="331" ht="14.25" customHeight="1" outlineLevel="1">
      <c r="A331" s="1"/>
      <c r="B331" s="163"/>
      <c r="C331" s="163"/>
      <c r="D331" s="164">
        <v>19.0</v>
      </c>
      <c r="E331" s="164">
        <v>228.0</v>
      </c>
      <c r="F331" s="165">
        <f t="shared" si="5"/>
        <v>210075.5342</v>
      </c>
      <c r="G331" s="166">
        <f t="shared" si="2"/>
        <v>120.7934322</v>
      </c>
      <c r="H331" s="167">
        <f t="shared" si="3"/>
        <v>16043.20536</v>
      </c>
      <c r="I331" s="168">
        <f t="shared" si="6"/>
        <v>11238.55312</v>
      </c>
      <c r="J331" s="1"/>
      <c r="K331" s="164">
        <v>19.0</v>
      </c>
      <c r="L331" s="164">
        <v>228.0</v>
      </c>
      <c r="M331" s="165">
        <f t="shared" si="7"/>
        <v>194032.3288</v>
      </c>
      <c r="N331" s="166">
        <f t="shared" si="8"/>
        <v>121.3319758</v>
      </c>
      <c r="O331" s="169">
        <f t="shared" si="9"/>
        <v>16626.70187</v>
      </c>
      <c r="P331" s="170">
        <f t="shared" ref="P331:Q331" si="236">P330+$L$7</f>
        <v>111302.6087</v>
      </c>
      <c r="Q331" s="171">
        <f t="shared" si="236"/>
        <v>111302.6087</v>
      </c>
      <c r="R331" s="172"/>
    </row>
    <row r="332" ht="14.25" customHeight="1" outlineLevel="1">
      <c r="A332" s="1"/>
      <c r="B332" s="163"/>
      <c r="C332" s="163"/>
      <c r="D332" s="164"/>
      <c r="E332" s="164">
        <v>229.0</v>
      </c>
      <c r="F332" s="165">
        <f t="shared" si="5"/>
        <v>211632.7849</v>
      </c>
      <c r="G332" s="166">
        <f t="shared" si="2"/>
        <v>121.6888513</v>
      </c>
      <c r="H332" s="167">
        <f t="shared" si="3"/>
        <v>16134.45757</v>
      </c>
      <c r="I332" s="168">
        <f t="shared" si="6"/>
        <v>11360.24197</v>
      </c>
      <c r="J332" s="1"/>
      <c r="K332" s="164"/>
      <c r="L332" s="164">
        <v>229.0</v>
      </c>
      <c r="M332" s="165">
        <f t="shared" si="7"/>
        <v>195498.3273</v>
      </c>
      <c r="N332" s="166">
        <f t="shared" si="8"/>
        <v>122.1749249</v>
      </c>
      <c r="O332" s="169">
        <f t="shared" si="9"/>
        <v>16748.8768</v>
      </c>
      <c r="P332" s="170">
        <f t="shared" ref="P332:Q332" si="237">P331+$L$7</f>
        <v>111790.778</v>
      </c>
      <c r="Q332" s="171">
        <f t="shared" si="237"/>
        <v>111790.778</v>
      </c>
      <c r="R332" s="172"/>
    </row>
    <row r="333" ht="14.25" customHeight="1" outlineLevel="1">
      <c r="A333" s="1"/>
      <c r="B333" s="163"/>
      <c r="C333" s="163"/>
      <c r="D333" s="164"/>
      <c r="E333" s="164">
        <v>230.0</v>
      </c>
      <c r="F333" s="165">
        <f t="shared" si="5"/>
        <v>213197.9401</v>
      </c>
      <c r="G333" s="166">
        <f t="shared" si="2"/>
        <v>122.5888155</v>
      </c>
      <c r="H333" s="167">
        <f t="shared" si="3"/>
        <v>16226.17296</v>
      </c>
      <c r="I333" s="168">
        <f t="shared" si="6"/>
        <v>11482.83079</v>
      </c>
      <c r="J333" s="1"/>
      <c r="K333" s="164"/>
      <c r="L333" s="164">
        <v>230.0</v>
      </c>
      <c r="M333" s="165">
        <f t="shared" si="7"/>
        <v>196971.7671</v>
      </c>
      <c r="N333" s="166">
        <f t="shared" si="8"/>
        <v>123.0221528</v>
      </c>
      <c r="O333" s="169">
        <f t="shared" si="9"/>
        <v>16871.89895</v>
      </c>
      <c r="P333" s="170">
        <f t="shared" ref="P333:Q333" si="238">P332+$L$7</f>
        <v>112278.9474</v>
      </c>
      <c r="Q333" s="171">
        <f t="shared" si="238"/>
        <v>112278.9474</v>
      </c>
      <c r="R333" s="172"/>
    </row>
    <row r="334" ht="14.25" customHeight="1" outlineLevel="1">
      <c r="A334" s="1"/>
      <c r="B334" s="163"/>
      <c r="C334" s="163"/>
      <c r="D334" s="164"/>
      <c r="E334" s="164">
        <v>231.0</v>
      </c>
      <c r="F334" s="165">
        <f t="shared" si="5"/>
        <v>214771.0398</v>
      </c>
      <c r="G334" s="166">
        <f t="shared" si="2"/>
        <v>123.4933479</v>
      </c>
      <c r="H334" s="167">
        <f t="shared" si="3"/>
        <v>16318.35389</v>
      </c>
      <c r="I334" s="168">
        <f t="shared" si="6"/>
        <v>11606.32413</v>
      </c>
      <c r="J334" s="1"/>
      <c r="K334" s="164"/>
      <c r="L334" s="164">
        <v>231.0</v>
      </c>
      <c r="M334" s="165">
        <f t="shared" si="7"/>
        <v>198452.6859</v>
      </c>
      <c r="N334" s="166">
        <f t="shared" si="8"/>
        <v>123.8736811</v>
      </c>
      <c r="O334" s="169">
        <f t="shared" si="9"/>
        <v>16995.77263</v>
      </c>
      <c r="P334" s="170">
        <f t="shared" ref="P334:Q334" si="239">P333+$L$7</f>
        <v>112767.1167</v>
      </c>
      <c r="Q334" s="171">
        <f t="shared" si="239"/>
        <v>112767.1167</v>
      </c>
      <c r="R334" s="172"/>
    </row>
    <row r="335" ht="14.25" customHeight="1" outlineLevel="1">
      <c r="A335" s="1"/>
      <c r="B335" s="163"/>
      <c r="C335" s="163"/>
      <c r="D335" s="164"/>
      <c r="E335" s="164">
        <v>232.0</v>
      </c>
      <c r="F335" s="165">
        <f t="shared" si="5"/>
        <v>216352.1244</v>
      </c>
      <c r="G335" s="166">
        <f t="shared" si="2"/>
        <v>124.4024715</v>
      </c>
      <c r="H335" s="167">
        <f t="shared" si="3"/>
        <v>16411.00272</v>
      </c>
      <c r="I335" s="168">
        <f t="shared" si="6"/>
        <v>11730.72661</v>
      </c>
      <c r="J335" s="1"/>
      <c r="K335" s="164"/>
      <c r="L335" s="164">
        <v>232.0</v>
      </c>
      <c r="M335" s="165">
        <f t="shared" si="7"/>
        <v>199941.1217</v>
      </c>
      <c r="N335" s="166">
        <f t="shared" si="8"/>
        <v>124.7295317</v>
      </c>
      <c r="O335" s="169">
        <f t="shared" si="9"/>
        <v>17120.50216</v>
      </c>
      <c r="P335" s="170">
        <f t="shared" ref="P335:Q335" si="240">P334+$L$7</f>
        <v>113255.286</v>
      </c>
      <c r="Q335" s="171">
        <f t="shared" si="240"/>
        <v>113255.286</v>
      </c>
      <c r="R335" s="172"/>
    </row>
    <row r="336" ht="14.25" customHeight="1" outlineLevel="1">
      <c r="A336" s="1"/>
      <c r="B336" s="163"/>
      <c r="C336" s="163"/>
      <c r="D336" s="164"/>
      <c r="E336" s="164">
        <v>233.0</v>
      </c>
      <c r="F336" s="165">
        <f t="shared" si="5"/>
        <v>217941.2344</v>
      </c>
      <c r="G336" s="166">
        <f t="shared" si="2"/>
        <v>125.3162098</v>
      </c>
      <c r="H336" s="167">
        <f t="shared" si="3"/>
        <v>16504.12182</v>
      </c>
      <c r="I336" s="168">
        <f t="shared" si="6"/>
        <v>11856.04282</v>
      </c>
      <c r="J336" s="1"/>
      <c r="K336" s="164"/>
      <c r="L336" s="164">
        <v>233.0</v>
      </c>
      <c r="M336" s="165">
        <f t="shared" si="7"/>
        <v>201437.1126</v>
      </c>
      <c r="N336" s="166">
        <f t="shared" si="8"/>
        <v>125.5897265</v>
      </c>
      <c r="O336" s="169">
        <f t="shared" si="9"/>
        <v>17246.09189</v>
      </c>
      <c r="P336" s="170">
        <f t="shared" ref="P336:Q336" si="241">P335+$L$7</f>
        <v>113743.4554</v>
      </c>
      <c r="Q336" s="171">
        <f t="shared" si="241"/>
        <v>113743.4554</v>
      </c>
      <c r="R336" s="172"/>
    </row>
    <row r="337" ht="14.25" customHeight="1" outlineLevel="1">
      <c r="A337" s="1"/>
      <c r="B337" s="163"/>
      <c r="C337" s="163"/>
      <c r="D337" s="164"/>
      <c r="E337" s="164">
        <v>234.0</v>
      </c>
      <c r="F337" s="165">
        <f t="shared" si="5"/>
        <v>219538.4106</v>
      </c>
      <c r="G337" s="166">
        <f t="shared" si="2"/>
        <v>126.2345861</v>
      </c>
      <c r="H337" s="167">
        <f t="shared" si="3"/>
        <v>16597.71359</v>
      </c>
      <c r="I337" s="168">
        <f t="shared" si="6"/>
        <v>11982.2774</v>
      </c>
      <c r="J337" s="1"/>
      <c r="K337" s="164"/>
      <c r="L337" s="164">
        <v>234.0</v>
      </c>
      <c r="M337" s="165">
        <f t="shared" si="7"/>
        <v>202940.697</v>
      </c>
      <c r="N337" s="166">
        <f t="shared" si="8"/>
        <v>126.4542875</v>
      </c>
      <c r="O337" s="169">
        <f t="shared" si="9"/>
        <v>17372.54618</v>
      </c>
      <c r="P337" s="170">
        <f t="shared" ref="P337:Q337" si="242">P336+$L$7</f>
        <v>114231.6247</v>
      </c>
      <c r="Q337" s="171">
        <f t="shared" si="242"/>
        <v>114231.6247</v>
      </c>
      <c r="R337" s="172"/>
    </row>
    <row r="338" ht="14.25" customHeight="1" outlineLevel="1">
      <c r="A338" s="1"/>
      <c r="B338" s="163"/>
      <c r="C338" s="163"/>
      <c r="D338" s="164"/>
      <c r="E338" s="164">
        <v>235.0</v>
      </c>
      <c r="F338" s="165">
        <f t="shared" si="5"/>
        <v>221143.6938</v>
      </c>
      <c r="G338" s="166">
        <f t="shared" si="2"/>
        <v>127.157624</v>
      </c>
      <c r="H338" s="167">
        <f t="shared" si="3"/>
        <v>16691.78042</v>
      </c>
      <c r="I338" s="168">
        <f t="shared" si="6"/>
        <v>12109.43503</v>
      </c>
      <c r="J338" s="1"/>
      <c r="K338" s="164"/>
      <c r="L338" s="164">
        <v>235.0</v>
      </c>
      <c r="M338" s="165">
        <f t="shared" si="7"/>
        <v>204451.9134</v>
      </c>
      <c r="N338" s="166">
        <f t="shared" si="8"/>
        <v>127.3232369</v>
      </c>
      <c r="O338" s="169">
        <f t="shared" si="9"/>
        <v>17499.86942</v>
      </c>
      <c r="P338" s="170">
        <f t="shared" ref="P338:Q338" si="243">P337+$L$7</f>
        <v>114719.794</v>
      </c>
      <c r="Q338" s="171">
        <f t="shared" si="243"/>
        <v>114719.794</v>
      </c>
      <c r="R338" s="172"/>
    </row>
    <row r="339" ht="14.25" customHeight="1" outlineLevel="1">
      <c r="A339" s="1"/>
      <c r="B339" s="163"/>
      <c r="C339" s="163"/>
      <c r="D339" s="164"/>
      <c r="E339" s="164">
        <v>236.0</v>
      </c>
      <c r="F339" s="165">
        <f t="shared" si="5"/>
        <v>222757.1254</v>
      </c>
      <c r="G339" s="166">
        <f t="shared" si="2"/>
        <v>128.0853471</v>
      </c>
      <c r="H339" s="167">
        <f t="shared" si="3"/>
        <v>16786.32472</v>
      </c>
      <c r="I339" s="168">
        <f t="shared" si="6"/>
        <v>12237.52037</v>
      </c>
      <c r="J339" s="1"/>
      <c r="K339" s="164"/>
      <c r="L339" s="164">
        <v>236.0</v>
      </c>
      <c r="M339" s="165">
        <f t="shared" si="7"/>
        <v>205970.8006</v>
      </c>
      <c r="N339" s="166">
        <f t="shared" si="8"/>
        <v>128.1965971</v>
      </c>
      <c r="O339" s="169">
        <f t="shared" si="9"/>
        <v>17628.06601</v>
      </c>
      <c r="P339" s="170">
        <f t="shared" ref="P339:Q339" si="244">P338+$L$7</f>
        <v>115207.9634</v>
      </c>
      <c r="Q339" s="171">
        <f t="shared" si="244"/>
        <v>115207.9634</v>
      </c>
      <c r="R339" s="172"/>
    </row>
    <row r="340" ht="14.25" customHeight="1" outlineLevel="1">
      <c r="A340" s="1"/>
      <c r="B340" s="163"/>
      <c r="C340" s="163"/>
      <c r="D340" s="164"/>
      <c r="E340" s="164">
        <v>237.0</v>
      </c>
      <c r="F340" s="165">
        <f t="shared" si="5"/>
        <v>224378.7465</v>
      </c>
      <c r="G340" s="166">
        <f t="shared" si="2"/>
        <v>129.0177792</v>
      </c>
      <c r="H340" s="167">
        <f t="shared" si="3"/>
        <v>16881.34892</v>
      </c>
      <c r="I340" s="168">
        <f t="shared" si="6"/>
        <v>12366.53815</v>
      </c>
      <c r="J340" s="1"/>
      <c r="K340" s="164"/>
      <c r="L340" s="164">
        <v>237.0</v>
      </c>
      <c r="M340" s="165">
        <f t="shared" si="7"/>
        <v>207497.3976</v>
      </c>
      <c r="N340" s="166">
        <f t="shared" si="8"/>
        <v>129.0743903</v>
      </c>
      <c r="O340" s="169">
        <f t="shared" si="9"/>
        <v>17757.1404</v>
      </c>
      <c r="P340" s="170">
        <f t="shared" ref="P340:Q340" si="245">P339+$L$7</f>
        <v>115696.1327</v>
      </c>
      <c r="Q340" s="171">
        <f t="shared" si="245"/>
        <v>115696.1327</v>
      </c>
      <c r="R340" s="172"/>
    </row>
    <row r="341" ht="14.25" customHeight="1" outlineLevel="1">
      <c r="A341" s="1"/>
      <c r="B341" s="163"/>
      <c r="C341" s="163"/>
      <c r="D341" s="164"/>
      <c r="E341" s="164">
        <v>238.0</v>
      </c>
      <c r="F341" s="165">
        <f t="shared" si="5"/>
        <v>226008.5988</v>
      </c>
      <c r="G341" s="166">
        <f t="shared" si="2"/>
        <v>129.9549443</v>
      </c>
      <c r="H341" s="167">
        <f t="shared" si="3"/>
        <v>16976.85545</v>
      </c>
      <c r="I341" s="168">
        <f t="shared" si="6"/>
        <v>12496.4931</v>
      </c>
      <c r="J341" s="1"/>
      <c r="K341" s="164"/>
      <c r="L341" s="164">
        <v>238.0</v>
      </c>
      <c r="M341" s="165">
        <f t="shared" si="7"/>
        <v>209031.7434</v>
      </c>
      <c r="N341" s="166">
        <f t="shared" si="8"/>
        <v>129.9566392</v>
      </c>
      <c r="O341" s="169">
        <f t="shared" si="9"/>
        <v>17887.09704</v>
      </c>
      <c r="P341" s="170">
        <f t="shared" ref="P341:Q341" si="246">P340+$L$7</f>
        <v>116184.3021</v>
      </c>
      <c r="Q341" s="171">
        <f t="shared" si="246"/>
        <v>116184.3021</v>
      </c>
      <c r="R341" s="172"/>
    </row>
    <row r="342" ht="14.25" customHeight="1" outlineLevel="1">
      <c r="A342" s="1"/>
      <c r="B342" s="163"/>
      <c r="C342" s="163"/>
      <c r="D342" s="164"/>
      <c r="E342" s="164">
        <v>239.0</v>
      </c>
      <c r="F342" s="165">
        <f t="shared" si="5"/>
        <v>227646.7241</v>
      </c>
      <c r="G342" s="166">
        <f t="shared" si="2"/>
        <v>130.8968663</v>
      </c>
      <c r="H342" s="167">
        <f t="shared" si="3"/>
        <v>17072.84677</v>
      </c>
      <c r="I342" s="168">
        <f t="shared" si="6"/>
        <v>12627.38996</v>
      </c>
      <c r="J342" s="1"/>
      <c r="K342" s="164"/>
      <c r="L342" s="164">
        <v>239.0</v>
      </c>
      <c r="M342" s="165">
        <f t="shared" si="7"/>
        <v>210573.8773</v>
      </c>
      <c r="N342" s="166">
        <f t="shared" si="8"/>
        <v>130.8433662</v>
      </c>
      <c r="O342" s="169">
        <f t="shared" si="9"/>
        <v>18017.94041</v>
      </c>
      <c r="P342" s="170">
        <f t="shared" ref="P342:Q342" si="247">P341+$L$7</f>
        <v>116672.4714</v>
      </c>
      <c r="Q342" s="171">
        <f t="shared" si="247"/>
        <v>116672.4714</v>
      </c>
      <c r="R342" s="172"/>
    </row>
    <row r="343" ht="14.25" customHeight="1" outlineLevel="1">
      <c r="A343" s="1"/>
      <c r="B343" s="163"/>
      <c r="C343" s="163"/>
      <c r="D343" s="164">
        <v>20.0</v>
      </c>
      <c r="E343" s="164">
        <v>240.0</v>
      </c>
      <c r="F343" s="165">
        <f t="shared" si="5"/>
        <v>229293.1643</v>
      </c>
      <c r="G343" s="166">
        <f t="shared" si="2"/>
        <v>131.8435695</v>
      </c>
      <c r="H343" s="167">
        <f t="shared" si="3"/>
        <v>17169.32532</v>
      </c>
      <c r="I343" s="168">
        <f t="shared" si="6"/>
        <v>12759.23353</v>
      </c>
      <c r="J343" s="1"/>
      <c r="K343" s="164">
        <v>20.0</v>
      </c>
      <c r="L343" s="164">
        <v>240.0</v>
      </c>
      <c r="M343" s="165">
        <f t="shared" si="7"/>
        <v>212123.839</v>
      </c>
      <c r="N343" s="166">
        <f t="shared" si="8"/>
        <v>131.7345941</v>
      </c>
      <c r="O343" s="169">
        <f t="shared" si="9"/>
        <v>18149.675</v>
      </c>
      <c r="P343" s="170">
        <f t="shared" ref="P343:Q343" si="248">P342+$L$7</f>
        <v>117160.6407</v>
      </c>
      <c r="Q343" s="171">
        <f t="shared" si="248"/>
        <v>117160.6407</v>
      </c>
      <c r="R343" s="172"/>
    </row>
    <row r="344" ht="14.25" customHeight="1" outlineLevel="1">
      <c r="A344" s="1"/>
      <c r="B344" s="163"/>
      <c r="C344" s="163"/>
      <c r="D344" s="164"/>
      <c r="E344" s="164">
        <v>241.0</v>
      </c>
      <c r="F344" s="165">
        <f t="shared" si="5"/>
        <v>230947.9617</v>
      </c>
      <c r="G344" s="166">
        <f t="shared" si="2"/>
        <v>132.795078</v>
      </c>
      <c r="H344" s="167">
        <f t="shared" si="3"/>
        <v>17266.29359</v>
      </c>
      <c r="I344" s="168">
        <f t="shared" si="6"/>
        <v>12892.02861</v>
      </c>
      <c r="J344" s="1"/>
      <c r="K344" s="164"/>
      <c r="L344" s="164">
        <v>241.0</v>
      </c>
      <c r="M344" s="165">
        <f t="shared" si="7"/>
        <v>213681.6681</v>
      </c>
      <c r="N344" s="166">
        <f t="shared" si="8"/>
        <v>132.6303459</v>
      </c>
      <c r="O344" s="169">
        <f t="shared" si="9"/>
        <v>18282.30535</v>
      </c>
      <c r="P344" s="170">
        <f t="shared" ref="P344:Q344" si="249">P343+$L$7</f>
        <v>117648.8101</v>
      </c>
      <c r="Q344" s="171">
        <f t="shared" si="249"/>
        <v>117648.8101</v>
      </c>
      <c r="R344" s="172"/>
    </row>
    <row r="345" ht="14.25" customHeight="1" outlineLevel="1">
      <c r="A345" s="1"/>
      <c r="B345" s="163"/>
      <c r="C345" s="163"/>
      <c r="D345" s="164"/>
      <c r="E345" s="164">
        <v>242.0</v>
      </c>
      <c r="F345" s="165">
        <f t="shared" si="5"/>
        <v>232611.1586</v>
      </c>
      <c r="G345" s="166">
        <f t="shared" si="2"/>
        <v>133.7514162</v>
      </c>
      <c r="H345" s="167">
        <f t="shared" si="3"/>
        <v>17363.75406</v>
      </c>
      <c r="I345" s="168">
        <f t="shared" si="6"/>
        <v>13025.78003</v>
      </c>
      <c r="J345" s="1"/>
      <c r="K345" s="164"/>
      <c r="L345" s="164">
        <v>242.0</v>
      </c>
      <c r="M345" s="165">
        <f t="shared" si="7"/>
        <v>215247.4045</v>
      </c>
      <c r="N345" s="166">
        <f t="shared" si="8"/>
        <v>133.5306443</v>
      </c>
      <c r="O345" s="169">
        <f t="shared" si="9"/>
        <v>18415.83599</v>
      </c>
      <c r="P345" s="170">
        <f t="shared" ref="P345:Q345" si="250">P344+$L$7</f>
        <v>118136.9794</v>
      </c>
      <c r="Q345" s="171">
        <f t="shared" si="250"/>
        <v>118136.9794</v>
      </c>
      <c r="R345" s="172"/>
    </row>
    <row r="346" ht="14.25" customHeight="1" outlineLevel="1">
      <c r="A346" s="1"/>
      <c r="B346" s="163"/>
      <c r="C346" s="163"/>
      <c r="D346" s="164"/>
      <c r="E346" s="164">
        <v>243.0</v>
      </c>
      <c r="F346" s="165">
        <f t="shared" si="5"/>
        <v>234282.7978</v>
      </c>
      <c r="G346" s="166">
        <f t="shared" si="2"/>
        <v>134.7126087</v>
      </c>
      <c r="H346" s="167">
        <f t="shared" si="3"/>
        <v>17461.70923</v>
      </c>
      <c r="I346" s="168">
        <f t="shared" si="6"/>
        <v>13160.49264</v>
      </c>
      <c r="J346" s="1"/>
      <c r="K346" s="164"/>
      <c r="L346" s="164">
        <v>243.0</v>
      </c>
      <c r="M346" s="165">
        <f t="shared" si="7"/>
        <v>216821.0885</v>
      </c>
      <c r="N346" s="166">
        <f t="shared" si="8"/>
        <v>134.4355126</v>
      </c>
      <c r="O346" s="169">
        <f t="shared" si="9"/>
        <v>18550.27151</v>
      </c>
      <c r="P346" s="170">
        <f t="shared" ref="P346:Q346" si="251">P345+$L$7</f>
        <v>118625.1487</v>
      </c>
      <c r="Q346" s="171">
        <f t="shared" si="251"/>
        <v>118625.1487</v>
      </c>
      <c r="R346" s="172"/>
    </row>
    <row r="347" ht="14.25" customHeight="1" outlineLevel="1">
      <c r="A347" s="1"/>
      <c r="B347" s="163"/>
      <c r="C347" s="163"/>
      <c r="D347" s="164"/>
      <c r="E347" s="164">
        <v>244.0</v>
      </c>
      <c r="F347" s="165">
        <f t="shared" si="5"/>
        <v>235962.922</v>
      </c>
      <c r="G347" s="166">
        <f t="shared" si="2"/>
        <v>135.6786801</v>
      </c>
      <c r="H347" s="167">
        <f t="shared" si="3"/>
        <v>17560.16161</v>
      </c>
      <c r="I347" s="168">
        <f t="shared" si="6"/>
        <v>13296.17132</v>
      </c>
      <c r="J347" s="1"/>
      <c r="K347" s="164"/>
      <c r="L347" s="164">
        <v>244.0</v>
      </c>
      <c r="M347" s="165">
        <f t="shared" si="7"/>
        <v>218402.7604</v>
      </c>
      <c r="N347" s="166">
        <f t="shared" si="8"/>
        <v>135.3449739</v>
      </c>
      <c r="O347" s="169">
        <f t="shared" si="9"/>
        <v>18685.61648</v>
      </c>
      <c r="P347" s="170">
        <f t="shared" ref="P347:Q347" si="252">P346+$L$7</f>
        <v>119113.3181</v>
      </c>
      <c r="Q347" s="171">
        <f t="shared" si="252"/>
        <v>119113.3181</v>
      </c>
      <c r="R347" s="172"/>
    </row>
    <row r="348" ht="14.25" customHeight="1" outlineLevel="1">
      <c r="A348" s="1"/>
      <c r="B348" s="163"/>
      <c r="C348" s="163"/>
      <c r="D348" s="164"/>
      <c r="E348" s="164">
        <v>245.0</v>
      </c>
      <c r="F348" s="165">
        <f t="shared" si="5"/>
        <v>237651.5743</v>
      </c>
      <c r="G348" s="166">
        <f t="shared" si="2"/>
        <v>136.6496552</v>
      </c>
      <c r="H348" s="167">
        <f t="shared" si="3"/>
        <v>17659.11373</v>
      </c>
      <c r="I348" s="168">
        <f t="shared" si="6"/>
        <v>13432.82097</v>
      </c>
      <c r="J348" s="1"/>
      <c r="K348" s="164"/>
      <c r="L348" s="164">
        <v>245.0</v>
      </c>
      <c r="M348" s="165">
        <f t="shared" si="7"/>
        <v>219992.4606</v>
      </c>
      <c r="N348" s="166">
        <f t="shared" si="8"/>
        <v>136.2590516</v>
      </c>
      <c r="O348" s="169">
        <f t="shared" si="9"/>
        <v>18821.87553</v>
      </c>
      <c r="P348" s="170">
        <f t="shared" ref="P348:Q348" si="253">P347+$L$7</f>
        <v>119601.4874</v>
      </c>
      <c r="Q348" s="171">
        <f t="shared" si="253"/>
        <v>119601.4874</v>
      </c>
      <c r="R348" s="172"/>
    </row>
    <row r="349" ht="14.25" customHeight="1" outlineLevel="1">
      <c r="A349" s="1"/>
      <c r="B349" s="163"/>
      <c r="C349" s="163"/>
      <c r="D349" s="164"/>
      <c r="E349" s="164">
        <v>246.0</v>
      </c>
      <c r="F349" s="165">
        <f t="shared" si="5"/>
        <v>239348.7981</v>
      </c>
      <c r="G349" s="166">
        <f t="shared" si="2"/>
        <v>137.6255589</v>
      </c>
      <c r="H349" s="167">
        <f t="shared" si="3"/>
        <v>17758.56811</v>
      </c>
      <c r="I349" s="168">
        <f t="shared" si="6"/>
        <v>13570.44653</v>
      </c>
      <c r="J349" s="1"/>
      <c r="K349" s="164"/>
      <c r="L349" s="164">
        <v>246.0</v>
      </c>
      <c r="M349" s="165">
        <f t="shared" si="7"/>
        <v>221590.23</v>
      </c>
      <c r="N349" s="166">
        <f t="shared" si="8"/>
        <v>137.177769</v>
      </c>
      <c r="O349" s="169">
        <f t="shared" si="9"/>
        <v>18959.0533</v>
      </c>
      <c r="P349" s="170">
        <f t="shared" ref="P349:Q349" si="254">P348+$L$7</f>
        <v>120089.6567</v>
      </c>
      <c r="Q349" s="171">
        <f t="shared" si="254"/>
        <v>120089.6567</v>
      </c>
      <c r="R349" s="172"/>
    </row>
    <row r="350" ht="14.25" customHeight="1" outlineLevel="1">
      <c r="A350" s="1"/>
      <c r="B350" s="163"/>
      <c r="C350" s="163"/>
      <c r="D350" s="164"/>
      <c r="E350" s="164">
        <v>247.0</v>
      </c>
      <c r="F350" s="165">
        <f t="shared" si="5"/>
        <v>241054.6368</v>
      </c>
      <c r="G350" s="166">
        <f t="shared" si="2"/>
        <v>138.6064162</v>
      </c>
      <c r="H350" s="167">
        <f t="shared" si="3"/>
        <v>17858.52731</v>
      </c>
      <c r="I350" s="168">
        <f t="shared" si="6"/>
        <v>13709.05295</v>
      </c>
      <c r="J350" s="1"/>
      <c r="K350" s="164"/>
      <c r="L350" s="164">
        <v>247.0</v>
      </c>
      <c r="M350" s="165">
        <f t="shared" si="7"/>
        <v>223196.1095</v>
      </c>
      <c r="N350" s="166">
        <f t="shared" si="8"/>
        <v>138.1011497</v>
      </c>
      <c r="O350" s="169">
        <f t="shared" si="9"/>
        <v>19097.15445</v>
      </c>
      <c r="P350" s="170">
        <f t="shared" ref="P350:Q350" si="255">P349+$L$7</f>
        <v>120577.8261</v>
      </c>
      <c r="Q350" s="171">
        <f t="shared" si="255"/>
        <v>120577.8261</v>
      </c>
      <c r="R350" s="172"/>
    </row>
    <row r="351" ht="14.25" customHeight="1" outlineLevel="1">
      <c r="A351" s="1"/>
      <c r="B351" s="163"/>
      <c r="C351" s="163"/>
      <c r="D351" s="164"/>
      <c r="E351" s="164">
        <v>248.0</v>
      </c>
      <c r="F351" s="165">
        <f t="shared" si="5"/>
        <v>242769.1342</v>
      </c>
      <c r="G351" s="166">
        <f t="shared" si="2"/>
        <v>139.5922522</v>
      </c>
      <c r="H351" s="167">
        <f t="shared" si="3"/>
        <v>17958.9939</v>
      </c>
      <c r="I351" s="168">
        <f t="shared" si="6"/>
        <v>13848.6452</v>
      </c>
      <c r="J351" s="1"/>
      <c r="K351" s="164"/>
      <c r="L351" s="164">
        <v>248.0</v>
      </c>
      <c r="M351" s="165">
        <f t="shared" si="7"/>
        <v>224810.1403</v>
      </c>
      <c r="N351" s="166">
        <f t="shared" si="8"/>
        <v>139.0292174</v>
      </c>
      <c r="O351" s="169">
        <f t="shared" si="9"/>
        <v>19236.18367</v>
      </c>
      <c r="P351" s="170">
        <f t="shared" ref="P351:Q351" si="256">P350+$L$7</f>
        <v>121065.9954</v>
      </c>
      <c r="Q351" s="171">
        <f t="shared" si="256"/>
        <v>121065.9954</v>
      </c>
      <c r="R351" s="172"/>
    </row>
    <row r="352" ht="14.25" customHeight="1" outlineLevel="1">
      <c r="A352" s="1"/>
      <c r="B352" s="163"/>
      <c r="C352" s="163"/>
      <c r="D352" s="164"/>
      <c r="E352" s="164">
        <v>249.0</v>
      </c>
      <c r="F352" s="165">
        <f t="shared" si="5"/>
        <v>244492.3342</v>
      </c>
      <c r="G352" s="166">
        <f t="shared" si="2"/>
        <v>140.5830921</v>
      </c>
      <c r="H352" s="167">
        <f t="shared" si="3"/>
        <v>18059.97044</v>
      </c>
      <c r="I352" s="168">
        <f t="shared" si="6"/>
        <v>13989.22829</v>
      </c>
      <c r="J352" s="1"/>
      <c r="K352" s="164"/>
      <c r="L352" s="164">
        <v>249.0</v>
      </c>
      <c r="M352" s="165">
        <f t="shared" si="7"/>
        <v>226432.3637</v>
      </c>
      <c r="N352" s="166">
        <f t="shared" si="8"/>
        <v>139.9619959</v>
      </c>
      <c r="O352" s="169">
        <f t="shared" si="9"/>
        <v>19376.14566</v>
      </c>
      <c r="P352" s="170">
        <f t="shared" ref="P352:Q352" si="257">P351+$L$7</f>
        <v>121554.1648</v>
      </c>
      <c r="Q352" s="171">
        <f t="shared" si="257"/>
        <v>121554.1648</v>
      </c>
      <c r="R352" s="172"/>
    </row>
    <row r="353" ht="14.25" customHeight="1" outlineLevel="1">
      <c r="A353" s="1"/>
      <c r="B353" s="163"/>
      <c r="C353" s="163"/>
      <c r="D353" s="164"/>
      <c r="E353" s="164">
        <v>250.0</v>
      </c>
      <c r="F353" s="165">
        <f t="shared" si="5"/>
        <v>246224.2809</v>
      </c>
      <c r="G353" s="166">
        <f t="shared" si="2"/>
        <v>141.5789615</v>
      </c>
      <c r="H353" s="167">
        <f t="shared" si="3"/>
        <v>18161.45954</v>
      </c>
      <c r="I353" s="168">
        <f t="shared" si="6"/>
        <v>14130.80725</v>
      </c>
      <c r="J353" s="1"/>
      <c r="K353" s="164"/>
      <c r="L353" s="164">
        <v>250.0</v>
      </c>
      <c r="M353" s="165">
        <f t="shared" si="7"/>
        <v>228062.8214</v>
      </c>
      <c r="N353" s="166">
        <f t="shared" si="8"/>
        <v>140.899509</v>
      </c>
      <c r="O353" s="169">
        <f t="shared" si="9"/>
        <v>19517.04517</v>
      </c>
      <c r="P353" s="170">
        <f t="shared" ref="P353:Q353" si="258">P352+$L$7</f>
        <v>122042.3341</v>
      </c>
      <c r="Q353" s="171">
        <f t="shared" si="258"/>
        <v>122042.3341</v>
      </c>
      <c r="R353" s="172"/>
    </row>
    <row r="354" ht="14.25" customHeight="1" outlineLevel="1">
      <c r="A354" s="1"/>
      <c r="B354" s="163"/>
      <c r="C354" s="163"/>
      <c r="D354" s="164"/>
      <c r="E354" s="164">
        <v>251.0</v>
      </c>
      <c r="F354" s="165">
        <f t="shared" si="5"/>
        <v>247965.0188</v>
      </c>
      <c r="G354" s="166">
        <f t="shared" si="2"/>
        <v>142.5798858</v>
      </c>
      <c r="H354" s="167">
        <f t="shared" si="3"/>
        <v>18263.46377</v>
      </c>
      <c r="I354" s="168">
        <f t="shared" si="6"/>
        <v>14273.38714</v>
      </c>
      <c r="J354" s="1"/>
      <c r="K354" s="164"/>
      <c r="L354" s="164">
        <v>251.0</v>
      </c>
      <c r="M354" s="165">
        <f t="shared" si="7"/>
        <v>229701.5551</v>
      </c>
      <c r="N354" s="166">
        <f t="shared" si="8"/>
        <v>141.8417809</v>
      </c>
      <c r="O354" s="169">
        <f t="shared" si="9"/>
        <v>19658.88695</v>
      </c>
      <c r="P354" s="170">
        <f t="shared" ref="P354:Q354" si="259">P353+$L$7</f>
        <v>122530.5034</v>
      </c>
      <c r="Q354" s="171">
        <f t="shared" si="259"/>
        <v>122530.5034</v>
      </c>
      <c r="R354" s="172"/>
    </row>
    <row r="355" ht="14.25" customHeight="1" outlineLevel="1">
      <c r="A355" s="1"/>
      <c r="B355" s="163"/>
      <c r="C355" s="163"/>
      <c r="D355" s="164">
        <v>21.0</v>
      </c>
      <c r="E355" s="164">
        <v>252.0</v>
      </c>
      <c r="F355" s="165">
        <f t="shared" si="5"/>
        <v>249714.5926</v>
      </c>
      <c r="G355" s="166">
        <f t="shared" si="2"/>
        <v>143.5858907</v>
      </c>
      <c r="H355" s="167">
        <f t="shared" si="3"/>
        <v>18365.98578</v>
      </c>
      <c r="I355" s="168">
        <f t="shared" si="6"/>
        <v>14416.97303</v>
      </c>
      <c r="J355" s="1"/>
      <c r="K355" s="164">
        <v>21.0</v>
      </c>
      <c r="L355" s="164">
        <v>252.0</v>
      </c>
      <c r="M355" s="165">
        <f t="shared" si="7"/>
        <v>231348.6068</v>
      </c>
      <c r="N355" s="166">
        <f t="shared" si="8"/>
        <v>142.7888356</v>
      </c>
      <c r="O355" s="169">
        <f t="shared" si="9"/>
        <v>19801.67579</v>
      </c>
      <c r="P355" s="170">
        <f t="shared" ref="P355:Q355" si="260">P354+$L$7</f>
        <v>123018.6728</v>
      </c>
      <c r="Q355" s="171">
        <f t="shared" si="260"/>
        <v>123018.6728</v>
      </c>
      <c r="R355" s="172"/>
    </row>
    <row r="356" ht="14.25" customHeight="1" outlineLevel="1">
      <c r="A356" s="1"/>
      <c r="B356" s="163"/>
      <c r="C356" s="163"/>
      <c r="D356" s="164"/>
      <c r="E356" s="164">
        <v>253.0</v>
      </c>
      <c r="F356" s="165">
        <f t="shared" si="5"/>
        <v>251473.047</v>
      </c>
      <c r="G356" s="166">
        <f t="shared" si="2"/>
        <v>144.597002</v>
      </c>
      <c r="H356" s="167">
        <f t="shared" si="3"/>
        <v>18469.02817</v>
      </c>
      <c r="I356" s="168">
        <f t="shared" si="6"/>
        <v>14561.57003</v>
      </c>
      <c r="J356" s="1"/>
      <c r="K356" s="164"/>
      <c r="L356" s="164">
        <v>253.0</v>
      </c>
      <c r="M356" s="165">
        <f t="shared" si="7"/>
        <v>233004.0188</v>
      </c>
      <c r="N356" s="166">
        <f t="shared" si="8"/>
        <v>143.7406975</v>
      </c>
      <c r="O356" s="169">
        <f t="shared" si="9"/>
        <v>19945.41649</v>
      </c>
      <c r="P356" s="170">
        <f t="shared" ref="P356:Q356" si="261">P355+$L$7</f>
        <v>123506.8421</v>
      </c>
      <c r="Q356" s="171">
        <f t="shared" si="261"/>
        <v>123506.8421</v>
      </c>
      <c r="R356" s="172"/>
    </row>
    <row r="357" ht="14.25" customHeight="1" outlineLevel="1">
      <c r="A357" s="1"/>
      <c r="B357" s="163"/>
      <c r="C357" s="163"/>
      <c r="D357" s="164"/>
      <c r="E357" s="164">
        <v>254.0</v>
      </c>
      <c r="F357" s="165">
        <f t="shared" si="5"/>
        <v>253240.4271</v>
      </c>
      <c r="G357" s="166">
        <f t="shared" si="2"/>
        <v>145.6132456</v>
      </c>
      <c r="H357" s="167">
        <f t="shared" si="3"/>
        <v>18572.59359</v>
      </c>
      <c r="I357" s="168">
        <f t="shared" si="6"/>
        <v>14707.18328</v>
      </c>
      <c r="J357" s="1"/>
      <c r="K357" s="164"/>
      <c r="L357" s="164">
        <v>254.0</v>
      </c>
      <c r="M357" s="165">
        <f t="shared" si="7"/>
        <v>234667.8335</v>
      </c>
      <c r="N357" s="166">
        <f t="shared" si="8"/>
        <v>144.697391</v>
      </c>
      <c r="O357" s="169">
        <f t="shared" si="9"/>
        <v>20090.11388</v>
      </c>
      <c r="P357" s="170">
        <f t="shared" ref="P357:Q357" si="262">P356+$L$7</f>
        <v>123995.0114</v>
      </c>
      <c r="Q357" s="171">
        <f t="shared" si="262"/>
        <v>123995.0114</v>
      </c>
      <c r="R357" s="172"/>
    </row>
    <row r="358" ht="14.25" customHeight="1" outlineLevel="1">
      <c r="A358" s="1"/>
      <c r="B358" s="163"/>
      <c r="C358" s="163"/>
      <c r="D358" s="164"/>
      <c r="E358" s="164">
        <v>255.0</v>
      </c>
      <c r="F358" s="165">
        <f t="shared" si="5"/>
        <v>255016.7782</v>
      </c>
      <c r="G358" s="166">
        <f t="shared" si="2"/>
        <v>146.6346475</v>
      </c>
      <c r="H358" s="167">
        <f t="shared" si="3"/>
        <v>18676.6847</v>
      </c>
      <c r="I358" s="168">
        <f t="shared" si="6"/>
        <v>14853.81792</v>
      </c>
      <c r="J358" s="1"/>
      <c r="K358" s="164"/>
      <c r="L358" s="164">
        <v>255.0</v>
      </c>
      <c r="M358" s="165">
        <f t="shared" si="7"/>
        <v>236340.0935</v>
      </c>
      <c r="N358" s="166">
        <f t="shared" si="8"/>
        <v>145.6589405</v>
      </c>
      <c r="O358" s="169">
        <f t="shared" si="9"/>
        <v>20235.77282</v>
      </c>
      <c r="P358" s="170">
        <f t="shared" ref="P358:Q358" si="263">P357+$L$7</f>
        <v>124483.1808</v>
      </c>
      <c r="Q358" s="171">
        <f t="shared" si="263"/>
        <v>124483.1808</v>
      </c>
      <c r="R358" s="172"/>
    </row>
    <row r="359" ht="14.25" customHeight="1" outlineLevel="1">
      <c r="A359" s="1"/>
      <c r="B359" s="163"/>
      <c r="C359" s="163"/>
      <c r="D359" s="164"/>
      <c r="E359" s="164">
        <v>256.0</v>
      </c>
      <c r="F359" s="165">
        <f t="shared" si="5"/>
        <v>256802.1459</v>
      </c>
      <c r="G359" s="166">
        <f t="shared" si="2"/>
        <v>147.6612339</v>
      </c>
      <c r="H359" s="167">
        <f t="shared" si="3"/>
        <v>18781.30417</v>
      </c>
      <c r="I359" s="168">
        <f t="shared" si="6"/>
        <v>15001.47916</v>
      </c>
      <c r="J359" s="1"/>
      <c r="K359" s="164"/>
      <c r="L359" s="164">
        <v>256.0</v>
      </c>
      <c r="M359" s="165">
        <f t="shared" si="7"/>
        <v>238020.8418</v>
      </c>
      <c r="N359" s="166">
        <f t="shared" si="8"/>
        <v>146.6253707</v>
      </c>
      <c r="O359" s="169">
        <f t="shared" si="9"/>
        <v>20382.39819</v>
      </c>
      <c r="P359" s="170">
        <f t="shared" ref="P359:Q359" si="264">P358+$L$7</f>
        <v>124971.3501</v>
      </c>
      <c r="Q359" s="171">
        <f t="shared" si="264"/>
        <v>124971.3501</v>
      </c>
      <c r="R359" s="172"/>
    </row>
    <row r="360" ht="14.25" customHeight="1" outlineLevel="1">
      <c r="A360" s="1"/>
      <c r="B360" s="163"/>
      <c r="C360" s="163"/>
      <c r="D360" s="164"/>
      <c r="E360" s="164">
        <v>257.0</v>
      </c>
      <c r="F360" s="165">
        <f t="shared" si="5"/>
        <v>258596.576</v>
      </c>
      <c r="G360" s="166">
        <f t="shared" si="2"/>
        <v>148.6930312</v>
      </c>
      <c r="H360" s="167">
        <f t="shared" si="3"/>
        <v>18886.45467</v>
      </c>
      <c r="I360" s="168">
        <f t="shared" si="6"/>
        <v>15150.17219</v>
      </c>
      <c r="J360" s="1"/>
      <c r="K360" s="164"/>
      <c r="L360" s="164">
        <v>257.0</v>
      </c>
      <c r="M360" s="165">
        <f t="shared" si="7"/>
        <v>239710.1213</v>
      </c>
      <c r="N360" s="166">
        <f t="shared" si="8"/>
        <v>147.5967065</v>
      </c>
      <c r="O360" s="169">
        <f t="shared" si="9"/>
        <v>20529.99489</v>
      </c>
      <c r="P360" s="170">
        <f t="shared" ref="P360:Q360" si="265">P359+$L$7</f>
        <v>125459.5194</v>
      </c>
      <c r="Q360" s="171">
        <f t="shared" si="265"/>
        <v>125459.5194</v>
      </c>
      <c r="R360" s="172"/>
    </row>
    <row r="361" ht="14.25" customHeight="1" outlineLevel="1">
      <c r="A361" s="1"/>
      <c r="B361" s="163"/>
      <c r="C361" s="163"/>
      <c r="D361" s="164"/>
      <c r="E361" s="164">
        <v>258.0</v>
      </c>
      <c r="F361" s="165">
        <f t="shared" si="5"/>
        <v>260400.1144</v>
      </c>
      <c r="G361" s="166">
        <f t="shared" si="2"/>
        <v>149.7300658</v>
      </c>
      <c r="H361" s="167">
        <f t="shared" si="3"/>
        <v>18992.13891</v>
      </c>
      <c r="I361" s="168">
        <f t="shared" si="6"/>
        <v>15299.90225</v>
      </c>
      <c r="J361" s="1"/>
      <c r="K361" s="164"/>
      <c r="L361" s="164">
        <v>258.0</v>
      </c>
      <c r="M361" s="165">
        <f t="shared" si="7"/>
        <v>241407.9755</v>
      </c>
      <c r="N361" s="166">
        <f t="shared" si="8"/>
        <v>148.5729726</v>
      </c>
      <c r="O361" s="169">
        <f t="shared" si="9"/>
        <v>20678.56787</v>
      </c>
      <c r="P361" s="170">
        <f t="shared" ref="P361:Q361" si="266">P360+$L$7</f>
        <v>125947.6888</v>
      </c>
      <c r="Q361" s="171">
        <f t="shared" si="266"/>
        <v>125947.6888</v>
      </c>
      <c r="R361" s="172"/>
    </row>
    <row r="362" ht="14.25" customHeight="1" outlineLevel="1">
      <c r="A362" s="1"/>
      <c r="B362" s="163"/>
      <c r="C362" s="163"/>
      <c r="D362" s="164"/>
      <c r="E362" s="164">
        <v>259.0</v>
      </c>
      <c r="F362" s="165">
        <f t="shared" si="5"/>
        <v>262212.8073</v>
      </c>
      <c r="G362" s="166">
        <f t="shared" si="2"/>
        <v>150.7723642</v>
      </c>
      <c r="H362" s="167">
        <f t="shared" si="3"/>
        <v>19098.35959</v>
      </c>
      <c r="I362" s="168">
        <f t="shared" si="6"/>
        <v>15450.67462</v>
      </c>
      <c r="J362" s="1"/>
      <c r="K362" s="164"/>
      <c r="L362" s="164">
        <v>259.0</v>
      </c>
      <c r="M362" s="165">
        <f t="shared" si="7"/>
        <v>243114.4477</v>
      </c>
      <c r="N362" s="166">
        <f t="shared" si="8"/>
        <v>149.5541942</v>
      </c>
      <c r="O362" s="169">
        <f t="shared" si="9"/>
        <v>20828.12206</v>
      </c>
      <c r="P362" s="170">
        <f t="shared" ref="P362:Q362" si="267">P361+$L$7</f>
        <v>126435.8581</v>
      </c>
      <c r="Q362" s="171">
        <f t="shared" si="267"/>
        <v>126435.8581</v>
      </c>
      <c r="R362" s="172"/>
    </row>
    <row r="363" ht="14.25" customHeight="1" outlineLevel="1">
      <c r="A363" s="1"/>
      <c r="B363" s="163"/>
      <c r="C363" s="163"/>
      <c r="D363" s="164"/>
      <c r="E363" s="164">
        <v>260.0</v>
      </c>
      <c r="F363" s="165">
        <f t="shared" si="5"/>
        <v>264034.7013</v>
      </c>
      <c r="G363" s="166">
        <f t="shared" si="2"/>
        <v>151.8199533</v>
      </c>
      <c r="H363" s="167">
        <f t="shared" si="3"/>
        <v>19205.11943</v>
      </c>
      <c r="I363" s="168">
        <f t="shared" si="6"/>
        <v>15602.49457</v>
      </c>
      <c r="J363" s="1"/>
      <c r="K363" s="164"/>
      <c r="L363" s="164">
        <v>260.0</v>
      </c>
      <c r="M363" s="165">
        <f t="shared" si="7"/>
        <v>244829.5819</v>
      </c>
      <c r="N363" s="166">
        <f t="shared" si="8"/>
        <v>150.5403963</v>
      </c>
      <c r="O363" s="169">
        <f t="shared" si="9"/>
        <v>20978.66246</v>
      </c>
      <c r="P363" s="170">
        <f t="shared" ref="P363:Q363" si="268">P362+$L$7</f>
        <v>126924.0275</v>
      </c>
      <c r="Q363" s="171">
        <f t="shared" si="268"/>
        <v>126924.0275</v>
      </c>
      <c r="R363" s="172"/>
    </row>
    <row r="364" ht="14.25" customHeight="1" outlineLevel="1">
      <c r="A364" s="1"/>
      <c r="B364" s="163"/>
      <c r="C364" s="163"/>
      <c r="D364" s="164"/>
      <c r="E364" s="164">
        <v>261.0</v>
      </c>
      <c r="F364" s="165">
        <f t="shared" si="5"/>
        <v>265865.8431</v>
      </c>
      <c r="G364" s="166">
        <f t="shared" si="2"/>
        <v>152.8728598</v>
      </c>
      <c r="H364" s="167">
        <f t="shared" si="3"/>
        <v>19312.42118</v>
      </c>
      <c r="I364" s="168">
        <f t="shared" si="6"/>
        <v>15755.36743</v>
      </c>
      <c r="J364" s="1"/>
      <c r="K364" s="164"/>
      <c r="L364" s="164">
        <v>261.0</v>
      </c>
      <c r="M364" s="165">
        <f t="shared" si="7"/>
        <v>246553.4219</v>
      </c>
      <c r="N364" s="166">
        <f t="shared" si="8"/>
        <v>151.5316043</v>
      </c>
      <c r="O364" s="169">
        <f t="shared" si="9"/>
        <v>21130.19406</v>
      </c>
      <c r="P364" s="170">
        <f t="shared" ref="P364:Q364" si="269">P363+$L$7</f>
        <v>127412.1968</v>
      </c>
      <c r="Q364" s="171">
        <f t="shared" si="269"/>
        <v>127412.1968</v>
      </c>
      <c r="R364" s="172"/>
    </row>
    <row r="365" ht="14.25" customHeight="1" outlineLevel="1">
      <c r="A365" s="1"/>
      <c r="B365" s="163"/>
      <c r="C365" s="163"/>
      <c r="D365" s="164"/>
      <c r="E365" s="164">
        <v>262.0</v>
      </c>
      <c r="F365" s="165">
        <f t="shared" si="5"/>
        <v>267706.2795</v>
      </c>
      <c r="G365" s="166">
        <f t="shared" si="2"/>
        <v>153.9311107</v>
      </c>
      <c r="H365" s="167">
        <f t="shared" si="3"/>
        <v>19420.26758</v>
      </c>
      <c r="I365" s="168">
        <f t="shared" si="6"/>
        <v>15909.29854</v>
      </c>
      <c r="J365" s="1"/>
      <c r="K365" s="164"/>
      <c r="L365" s="164">
        <v>262.0</v>
      </c>
      <c r="M365" s="165">
        <f t="shared" si="7"/>
        <v>248286.0119</v>
      </c>
      <c r="N365" s="166">
        <f t="shared" si="8"/>
        <v>152.5278436</v>
      </c>
      <c r="O365" s="169">
        <f t="shared" si="9"/>
        <v>21282.72191</v>
      </c>
      <c r="P365" s="170">
        <f t="shared" ref="P365:Q365" si="270">P364+$L$7</f>
        <v>127900.3661</v>
      </c>
      <c r="Q365" s="171">
        <f t="shared" si="270"/>
        <v>127900.3661</v>
      </c>
      <c r="R365" s="172"/>
    </row>
    <row r="366" ht="14.25" customHeight="1" outlineLevel="1">
      <c r="A366" s="1"/>
      <c r="B366" s="163"/>
      <c r="C366" s="163"/>
      <c r="D366" s="164"/>
      <c r="E366" s="164">
        <v>263.0</v>
      </c>
      <c r="F366" s="165">
        <f t="shared" si="5"/>
        <v>269556.0578</v>
      </c>
      <c r="G366" s="166">
        <f t="shared" si="2"/>
        <v>154.9947332</v>
      </c>
      <c r="H366" s="167">
        <f t="shared" si="3"/>
        <v>19528.66139</v>
      </c>
      <c r="I366" s="168">
        <f t="shared" si="6"/>
        <v>16064.29328</v>
      </c>
      <c r="J366" s="1"/>
      <c r="K366" s="164"/>
      <c r="L366" s="164">
        <v>263.0</v>
      </c>
      <c r="M366" s="165">
        <f t="shared" si="7"/>
        <v>250027.3964</v>
      </c>
      <c r="N366" s="166">
        <f t="shared" si="8"/>
        <v>153.5291396</v>
      </c>
      <c r="O366" s="169">
        <f t="shared" si="9"/>
        <v>21436.25104</v>
      </c>
      <c r="P366" s="170">
        <f t="shared" ref="P366:Q366" si="271">P365+$L$7</f>
        <v>128388.5355</v>
      </c>
      <c r="Q366" s="171">
        <f t="shared" si="271"/>
        <v>128388.5355</v>
      </c>
      <c r="R366" s="172"/>
    </row>
    <row r="367" ht="14.25" customHeight="1" outlineLevel="1">
      <c r="A367" s="1"/>
      <c r="B367" s="163"/>
      <c r="C367" s="163"/>
      <c r="D367" s="164">
        <v>22.0</v>
      </c>
      <c r="E367" s="164">
        <v>264.0</v>
      </c>
      <c r="F367" s="165">
        <f t="shared" si="5"/>
        <v>271415.2253</v>
      </c>
      <c r="G367" s="166">
        <f t="shared" si="2"/>
        <v>156.0637546</v>
      </c>
      <c r="H367" s="167">
        <f t="shared" si="3"/>
        <v>19637.6054</v>
      </c>
      <c r="I367" s="168">
        <f t="shared" si="6"/>
        <v>16220.35703</v>
      </c>
      <c r="J367" s="1"/>
      <c r="K367" s="164">
        <v>22.0</v>
      </c>
      <c r="L367" s="164">
        <v>264.0</v>
      </c>
      <c r="M367" s="165">
        <f t="shared" si="7"/>
        <v>251777.6199</v>
      </c>
      <c r="N367" s="166">
        <f t="shared" si="8"/>
        <v>154.5355182</v>
      </c>
      <c r="O367" s="169">
        <f t="shared" si="9"/>
        <v>21590.78656</v>
      </c>
      <c r="P367" s="170">
        <f t="shared" ref="P367:Q367" si="272">P366+$L$7</f>
        <v>128876.7048</v>
      </c>
      <c r="Q367" s="171">
        <f t="shared" si="272"/>
        <v>128876.7048</v>
      </c>
      <c r="R367" s="172"/>
    </row>
    <row r="368" ht="14.25" customHeight="1" outlineLevel="1">
      <c r="A368" s="1"/>
      <c r="B368" s="163"/>
      <c r="C368" s="163"/>
      <c r="D368" s="164"/>
      <c r="E368" s="164">
        <v>265.0</v>
      </c>
      <c r="F368" s="165">
        <f t="shared" si="5"/>
        <v>273283.8298</v>
      </c>
      <c r="G368" s="166">
        <f t="shared" si="2"/>
        <v>157.1382022</v>
      </c>
      <c r="H368" s="167">
        <f t="shared" si="3"/>
        <v>19747.1024</v>
      </c>
      <c r="I368" s="168">
        <f t="shared" si="6"/>
        <v>16377.49523</v>
      </c>
      <c r="J368" s="1"/>
      <c r="K368" s="164"/>
      <c r="L368" s="164">
        <v>265.0</v>
      </c>
      <c r="M368" s="165">
        <f t="shared" si="7"/>
        <v>253536.7274</v>
      </c>
      <c r="N368" s="166">
        <f t="shared" si="8"/>
        <v>155.547005</v>
      </c>
      <c r="O368" s="169">
        <f t="shared" si="9"/>
        <v>21746.33357</v>
      </c>
      <c r="P368" s="170">
        <f t="shared" ref="P368:Q368" si="273">P367+$L$7</f>
        <v>129364.8741</v>
      </c>
      <c r="Q368" s="171">
        <f t="shared" si="273"/>
        <v>129364.8741</v>
      </c>
      <c r="R368" s="172"/>
    </row>
    <row r="369" ht="14.25" customHeight="1" outlineLevel="1">
      <c r="A369" s="1"/>
      <c r="B369" s="163"/>
      <c r="C369" s="163"/>
      <c r="D369" s="164"/>
      <c r="E369" s="164">
        <v>266.0</v>
      </c>
      <c r="F369" s="165">
        <f t="shared" si="5"/>
        <v>275161.9192</v>
      </c>
      <c r="G369" s="166">
        <f t="shared" si="2"/>
        <v>158.2181035</v>
      </c>
      <c r="H369" s="167">
        <f t="shared" si="3"/>
        <v>19857.1552</v>
      </c>
      <c r="I369" s="168">
        <f t="shared" si="6"/>
        <v>16535.71334</v>
      </c>
      <c r="J369" s="1"/>
      <c r="K369" s="164"/>
      <c r="L369" s="164">
        <v>266.0</v>
      </c>
      <c r="M369" s="165">
        <f t="shared" si="7"/>
        <v>255304.764</v>
      </c>
      <c r="N369" s="166">
        <f t="shared" si="8"/>
        <v>156.563626</v>
      </c>
      <c r="O369" s="169">
        <f t="shared" si="9"/>
        <v>21902.89719</v>
      </c>
      <c r="P369" s="170">
        <f t="shared" ref="P369:Q369" si="274">P368+$L$7</f>
        <v>129853.0435</v>
      </c>
      <c r="Q369" s="171">
        <f t="shared" si="274"/>
        <v>129853.0435</v>
      </c>
      <c r="R369" s="172"/>
    </row>
    <row r="370" ht="14.25" customHeight="1" outlineLevel="1">
      <c r="A370" s="1"/>
      <c r="B370" s="163"/>
      <c r="C370" s="163"/>
      <c r="D370" s="164"/>
      <c r="E370" s="164">
        <v>267.0</v>
      </c>
      <c r="F370" s="165">
        <f t="shared" si="5"/>
        <v>277049.5415</v>
      </c>
      <c r="G370" s="166">
        <f t="shared" si="2"/>
        <v>159.3034864</v>
      </c>
      <c r="H370" s="167">
        <f t="shared" si="3"/>
        <v>19967.76661</v>
      </c>
      <c r="I370" s="168">
        <f t="shared" si="6"/>
        <v>16695.01682</v>
      </c>
      <c r="J370" s="1"/>
      <c r="K370" s="164"/>
      <c r="L370" s="164">
        <v>267.0</v>
      </c>
      <c r="M370" s="165">
        <f t="shared" si="7"/>
        <v>257081.7749</v>
      </c>
      <c r="N370" s="166">
        <f t="shared" si="8"/>
        <v>157.5854073</v>
      </c>
      <c r="O370" s="169">
        <f t="shared" si="9"/>
        <v>22060.4826</v>
      </c>
      <c r="P370" s="170">
        <f t="shared" ref="P370:Q370" si="275">P369+$L$7</f>
        <v>130341.2128</v>
      </c>
      <c r="Q370" s="171">
        <f t="shared" si="275"/>
        <v>130341.2128</v>
      </c>
      <c r="R370" s="172"/>
    </row>
    <row r="371" ht="14.25" customHeight="1" outlineLevel="1">
      <c r="A371" s="1"/>
      <c r="B371" s="163"/>
      <c r="C371" s="163"/>
      <c r="D371" s="164"/>
      <c r="E371" s="164">
        <v>268.0</v>
      </c>
      <c r="F371" s="165">
        <f t="shared" si="5"/>
        <v>278946.7452</v>
      </c>
      <c r="G371" s="166">
        <f t="shared" si="2"/>
        <v>160.3943785</v>
      </c>
      <c r="H371" s="167">
        <f t="shared" si="3"/>
        <v>20078.93947</v>
      </c>
      <c r="I371" s="168">
        <f t="shared" si="6"/>
        <v>16855.4112</v>
      </c>
      <c r="J371" s="1"/>
      <c r="K371" s="164"/>
      <c r="L371" s="164">
        <v>268.0</v>
      </c>
      <c r="M371" s="165">
        <f t="shared" si="7"/>
        <v>258867.8057</v>
      </c>
      <c r="N371" s="166">
        <f t="shared" si="8"/>
        <v>158.612375</v>
      </c>
      <c r="O371" s="169">
        <f t="shared" si="9"/>
        <v>22219.09498</v>
      </c>
      <c r="P371" s="170">
        <f t="shared" ref="P371:Q371" si="276">P370+$L$7</f>
        <v>130829.3821</v>
      </c>
      <c r="Q371" s="171">
        <f t="shared" si="276"/>
        <v>130829.3821</v>
      </c>
      <c r="R371" s="172"/>
    </row>
    <row r="372" ht="14.25" customHeight="1" outlineLevel="1">
      <c r="A372" s="1"/>
      <c r="B372" s="163"/>
      <c r="C372" s="163"/>
      <c r="D372" s="164"/>
      <c r="E372" s="164">
        <v>269.0</v>
      </c>
      <c r="F372" s="165">
        <f t="shared" si="5"/>
        <v>280853.5789</v>
      </c>
      <c r="G372" s="166">
        <f t="shared" si="2"/>
        <v>161.4908079</v>
      </c>
      <c r="H372" s="167">
        <f t="shared" si="3"/>
        <v>20190.67663</v>
      </c>
      <c r="I372" s="168">
        <f t="shared" si="6"/>
        <v>17016.90201</v>
      </c>
      <c r="J372" s="1"/>
      <c r="K372" s="164"/>
      <c r="L372" s="164">
        <v>269.0</v>
      </c>
      <c r="M372" s="165">
        <f t="shared" si="7"/>
        <v>260662.9023</v>
      </c>
      <c r="N372" s="166">
        <f t="shared" si="8"/>
        <v>159.6445555</v>
      </c>
      <c r="O372" s="169">
        <f t="shared" si="9"/>
        <v>22378.73953</v>
      </c>
      <c r="P372" s="170">
        <f t="shared" ref="P372:Q372" si="277">P371+$L$7</f>
        <v>131317.5515</v>
      </c>
      <c r="Q372" s="171">
        <f t="shared" si="277"/>
        <v>131317.5515</v>
      </c>
      <c r="R372" s="172"/>
    </row>
    <row r="373" ht="14.25" customHeight="1" outlineLevel="1">
      <c r="A373" s="1"/>
      <c r="B373" s="163"/>
      <c r="C373" s="163"/>
      <c r="D373" s="164"/>
      <c r="E373" s="164">
        <v>270.0</v>
      </c>
      <c r="F373" s="165">
        <f t="shared" si="5"/>
        <v>282770.0915</v>
      </c>
      <c r="G373" s="166">
        <f t="shared" si="2"/>
        <v>162.5928026</v>
      </c>
      <c r="H373" s="167">
        <f t="shared" si="3"/>
        <v>20302.98096</v>
      </c>
      <c r="I373" s="168">
        <f t="shared" si="6"/>
        <v>17179.49481</v>
      </c>
      <c r="J373" s="1"/>
      <c r="K373" s="164"/>
      <c r="L373" s="164">
        <v>270.0</v>
      </c>
      <c r="M373" s="165">
        <f t="shared" si="7"/>
        <v>262467.1105</v>
      </c>
      <c r="N373" s="166">
        <f t="shared" si="8"/>
        <v>160.6819753</v>
      </c>
      <c r="O373" s="169">
        <f t="shared" si="9"/>
        <v>22539.42151</v>
      </c>
      <c r="P373" s="170">
        <f t="shared" ref="P373:Q373" si="278">P372+$L$7</f>
        <v>131805.7208</v>
      </c>
      <c r="Q373" s="171">
        <f t="shared" si="278"/>
        <v>131805.7208</v>
      </c>
      <c r="R373" s="172"/>
    </row>
    <row r="374" ht="14.25" customHeight="1" outlineLevel="1">
      <c r="A374" s="1"/>
      <c r="B374" s="163"/>
      <c r="C374" s="163"/>
      <c r="D374" s="164"/>
      <c r="E374" s="164">
        <v>271.0</v>
      </c>
      <c r="F374" s="165">
        <f t="shared" si="5"/>
        <v>284696.3321</v>
      </c>
      <c r="G374" s="166">
        <f t="shared" si="2"/>
        <v>163.7003909</v>
      </c>
      <c r="H374" s="167">
        <f t="shared" si="3"/>
        <v>20415.85534</v>
      </c>
      <c r="I374" s="168">
        <f t="shared" si="6"/>
        <v>17343.1952</v>
      </c>
      <c r="J374" s="1"/>
      <c r="K374" s="164"/>
      <c r="L374" s="164">
        <v>271.0</v>
      </c>
      <c r="M374" s="165">
        <f t="shared" si="7"/>
        <v>264280.4767</v>
      </c>
      <c r="N374" s="166">
        <f t="shared" si="8"/>
        <v>161.7246608</v>
      </c>
      <c r="O374" s="169">
        <f t="shared" si="9"/>
        <v>22701.14617</v>
      </c>
      <c r="P374" s="170">
        <f t="shared" ref="P374:Q374" si="279">P373+$L$7</f>
        <v>132293.8902</v>
      </c>
      <c r="Q374" s="171">
        <f t="shared" si="279"/>
        <v>132293.8902</v>
      </c>
      <c r="R374" s="172"/>
    </row>
    <row r="375" ht="14.25" customHeight="1" outlineLevel="1">
      <c r="A375" s="1"/>
      <c r="B375" s="163"/>
      <c r="C375" s="163"/>
      <c r="D375" s="164"/>
      <c r="E375" s="164">
        <v>272.0</v>
      </c>
      <c r="F375" s="165">
        <f t="shared" si="5"/>
        <v>286632.3501</v>
      </c>
      <c r="G375" s="166">
        <f t="shared" si="2"/>
        <v>164.8136013</v>
      </c>
      <c r="H375" s="167">
        <f t="shared" si="3"/>
        <v>20529.30265</v>
      </c>
      <c r="I375" s="168">
        <f t="shared" si="6"/>
        <v>17508.0088</v>
      </c>
      <c r="J375" s="1"/>
      <c r="K375" s="164"/>
      <c r="L375" s="164">
        <v>272.0</v>
      </c>
      <c r="M375" s="165">
        <f t="shared" si="7"/>
        <v>266103.0474</v>
      </c>
      <c r="N375" s="166">
        <f t="shared" si="8"/>
        <v>162.772639</v>
      </c>
      <c r="O375" s="169">
        <f t="shared" si="9"/>
        <v>22863.91881</v>
      </c>
      <c r="P375" s="170">
        <f t="shared" ref="P375:Q375" si="280">P374+$L$7</f>
        <v>132782.0595</v>
      </c>
      <c r="Q375" s="171">
        <f t="shared" si="280"/>
        <v>132782.0595</v>
      </c>
      <c r="R375" s="172"/>
    </row>
    <row r="376" ht="14.25" customHeight="1" outlineLevel="1">
      <c r="A376" s="1"/>
      <c r="B376" s="163"/>
      <c r="C376" s="163"/>
      <c r="D376" s="164"/>
      <c r="E376" s="164">
        <v>273.0</v>
      </c>
      <c r="F376" s="165">
        <f t="shared" si="5"/>
        <v>288578.1951</v>
      </c>
      <c r="G376" s="166">
        <f t="shared" si="2"/>
        <v>165.9324622</v>
      </c>
      <c r="H376" s="167">
        <f t="shared" si="3"/>
        <v>20643.32581</v>
      </c>
      <c r="I376" s="168">
        <f t="shared" si="6"/>
        <v>17673.94127</v>
      </c>
      <c r="J376" s="1"/>
      <c r="K376" s="164"/>
      <c r="L376" s="164">
        <v>273.0</v>
      </c>
      <c r="M376" s="165">
        <f t="shared" si="7"/>
        <v>267934.8693</v>
      </c>
      <c r="N376" s="166">
        <f t="shared" si="8"/>
        <v>163.8259366</v>
      </c>
      <c r="O376" s="169">
        <f t="shared" si="9"/>
        <v>23027.74474</v>
      </c>
      <c r="P376" s="170">
        <f t="shared" ref="P376:Q376" si="281">P375+$L$7</f>
        <v>133270.2288</v>
      </c>
      <c r="Q376" s="171">
        <f t="shared" si="281"/>
        <v>133270.2288</v>
      </c>
      <c r="R376" s="172"/>
    </row>
    <row r="377" ht="14.25" customHeight="1" outlineLevel="1">
      <c r="A377" s="1"/>
      <c r="B377" s="163"/>
      <c r="C377" s="163"/>
      <c r="D377" s="164"/>
      <c r="E377" s="164">
        <v>274.0</v>
      </c>
      <c r="F377" s="165">
        <f t="shared" si="5"/>
        <v>290533.917</v>
      </c>
      <c r="G377" s="166">
        <f t="shared" si="2"/>
        <v>167.0570023</v>
      </c>
      <c r="H377" s="167">
        <f t="shared" si="3"/>
        <v>20757.92774</v>
      </c>
      <c r="I377" s="168">
        <f t="shared" si="6"/>
        <v>17840.99827</v>
      </c>
      <c r="J377" s="1"/>
      <c r="K377" s="164"/>
      <c r="L377" s="164">
        <v>274.0</v>
      </c>
      <c r="M377" s="165">
        <f t="shared" si="7"/>
        <v>269775.9893</v>
      </c>
      <c r="N377" s="166">
        <f t="shared" si="8"/>
        <v>164.8845806</v>
      </c>
      <c r="O377" s="169">
        <f t="shared" si="9"/>
        <v>23192.62932</v>
      </c>
      <c r="P377" s="170">
        <f t="shared" ref="P377:Q377" si="282">P376+$L$7</f>
        <v>133758.3982</v>
      </c>
      <c r="Q377" s="171">
        <f t="shared" si="282"/>
        <v>133758.3982</v>
      </c>
      <c r="R377" s="172"/>
    </row>
    <row r="378" ht="14.25" customHeight="1" outlineLevel="1">
      <c r="A378" s="1"/>
      <c r="B378" s="163"/>
      <c r="C378" s="163"/>
      <c r="D378" s="164"/>
      <c r="E378" s="164">
        <v>275.0</v>
      </c>
      <c r="F378" s="165">
        <f t="shared" si="5"/>
        <v>292499.566</v>
      </c>
      <c r="G378" s="166">
        <f t="shared" si="2"/>
        <v>168.1872504</v>
      </c>
      <c r="H378" s="167">
        <f t="shared" si="3"/>
        <v>20873.11138</v>
      </c>
      <c r="I378" s="168">
        <f t="shared" si="6"/>
        <v>18009.18552</v>
      </c>
      <c r="J378" s="1"/>
      <c r="K378" s="164"/>
      <c r="L378" s="164">
        <v>275.0</v>
      </c>
      <c r="M378" s="165">
        <f t="shared" si="7"/>
        <v>271626.4546</v>
      </c>
      <c r="N378" s="166">
        <f t="shared" si="8"/>
        <v>165.9485981</v>
      </c>
      <c r="O378" s="169">
        <f t="shared" si="9"/>
        <v>23358.57792</v>
      </c>
      <c r="P378" s="170">
        <f t="shared" ref="P378:Q378" si="283">P377+$L$7</f>
        <v>134246.5675</v>
      </c>
      <c r="Q378" s="171">
        <f t="shared" si="283"/>
        <v>134246.5675</v>
      </c>
      <c r="R378" s="172"/>
    </row>
    <row r="379" ht="14.25" customHeight="1" outlineLevel="1">
      <c r="A379" s="1"/>
      <c r="B379" s="163"/>
      <c r="C379" s="163"/>
      <c r="D379" s="164">
        <v>23.0</v>
      </c>
      <c r="E379" s="164">
        <v>276.0</v>
      </c>
      <c r="F379" s="165">
        <f t="shared" si="5"/>
        <v>294475.1923</v>
      </c>
      <c r="G379" s="166">
        <f t="shared" si="2"/>
        <v>169.3232356</v>
      </c>
      <c r="H379" s="167">
        <f t="shared" si="3"/>
        <v>20988.87967</v>
      </c>
      <c r="I379" s="168">
        <f t="shared" si="6"/>
        <v>18178.50875</v>
      </c>
      <c r="J379" s="1"/>
      <c r="K379" s="164">
        <v>23.0</v>
      </c>
      <c r="L379" s="164">
        <v>276.0</v>
      </c>
      <c r="M379" s="165">
        <f t="shared" si="7"/>
        <v>273486.3127</v>
      </c>
      <c r="N379" s="166">
        <f t="shared" si="8"/>
        <v>167.0180165</v>
      </c>
      <c r="O379" s="169">
        <f t="shared" si="9"/>
        <v>23525.59594</v>
      </c>
      <c r="P379" s="170">
        <f t="shared" ref="P379:Q379" si="284">P378+$L$7</f>
        <v>134734.7368</v>
      </c>
      <c r="Q379" s="171">
        <f t="shared" si="284"/>
        <v>134734.7368</v>
      </c>
      <c r="R379" s="172"/>
    </row>
    <row r="380" ht="14.25" customHeight="1" outlineLevel="1">
      <c r="A380" s="1"/>
      <c r="B380" s="163"/>
      <c r="C380" s="163"/>
      <c r="D380" s="164"/>
      <c r="E380" s="164">
        <v>277.0</v>
      </c>
      <c r="F380" s="165">
        <f t="shared" si="5"/>
        <v>296460.8468</v>
      </c>
      <c r="G380" s="166">
        <f t="shared" si="2"/>
        <v>170.4649869</v>
      </c>
      <c r="H380" s="167">
        <f t="shared" si="3"/>
        <v>21105.2356</v>
      </c>
      <c r="I380" s="168">
        <f t="shared" si="6"/>
        <v>18348.97374</v>
      </c>
      <c r="J380" s="1"/>
      <c r="K380" s="164"/>
      <c r="L380" s="164">
        <v>277.0</v>
      </c>
      <c r="M380" s="165">
        <f t="shared" si="7"/>
        <v>275355.6112</v>
      </c>
      <c r="N380" s="166">
        <f t="shared" si="8"/>
        <v>168.0928632</v>
      </c>
      <c r="O380" s="169">
        <f t="shared" si="9"/>
        <v>23693.6888</v>
      </c>
      <c r="P380" s="170">
        <f t="shared" ref="P380:Q380" si="285">P379+$L$7</f>
        <v>135222.9062</v>
      </c>
      <c r="Q380" s="171">
        <f t="shared" si="285"/>
        <v>135222.9062</v>
      </c>
      <c r="R380" s="172"/>
    </row>
    <row r="381" ht="14.25" customHeight="1" outlineLevel="1">
      <c r="A381" s="1"/>
      <c r="B381" s="163"/>
      <c r="C381" s="163"/>
      <c r="D381" s="164"/>
      <c r="E381" s="164">
        <v>278.0</v>
      </c>
      <c r="F381" s="165">
        <f t="shared" si="5"/>
        <v>298456.5802</v>
      </c>
      <c r="G381" s="166">
        <f t="shared" si="2"/>
        <v>171.6125336</v>
      </c>
      <c r="H381" s="167">
        <f t="shared" si="3"/>
        <v>21222.18213</v>
      </c>
      <c r="I381" s="168">
        <f t="shared" si="6"/>
        <v>18520.58627</v>
      </c>
      <c r="J381" s="1"/>
      <c r="K381" s="164"/>
      <c r="L381" s="164">
        <v>278.0</v>
      </c>
      <c r="M381" s="165">
        <f t="shared" si="7"/>
        <v>277234.3981</v>
      </c>
      <c r="N381" s="166">
        <f t="shared" si="8"/>
        <v>169.1731656</v>
      </c>
      <c r="O381" s="169">
        <f t="shared" si="9"/>
        <v>23862.86197</v>
      </c>
      <c r="P381" s="170">
        <f t="shared" ref="P381:Q381" si="286">P380+$L$7</f>
        <v>135711.0755</v>
      </c>
      <c r="Q381" s="171">
        <f t="shared" si="286"/>
        <v>135711.0755</v>
      </c>
      <c r="R381" s="172"/>
    </row>
    <row r="382" ht="14.25" customHeight="1" outlineLevel="1">
      <c r="A382" s="1"/>
      <c r="B382" s="163"/>
      <c r="C382" s="163"/>
      <c r="D382" s="164"/>
      <c r="E382" s="164">
        <v>279.0</v>
      </c>
      <c r="F382" s="165">
        <f t="shared" si="5"/>
        <v>300462.4438</v>
      </c>
      <c r="G382" s="166">
        <f t="shared" si="2"/>
        <v>172.7659052</v>
      </c>
      <c r="H382" s="167">
        <f t="shared" si="3"/>
        <v>21339.72227</v>
      </c>
      <c r="I382" s="168">
        <f t="shared" si="6"/>
        <v>18693.35218</v>
      </c>
      <c r="J382" s="1"/>
      <c r="K382" s="164"/>
      <c r="L382" s="164">
        <v>279.0</v>
      </c>
      <c r="M382" s="165">
        <f t="shared" si="7"/>
        <v>279122.7215</v>
      </c>
      <c r="N382" s="166">
        <f t="shared" si="8"/>
        <v>170.2589516</v>
      </c>
      <c r="O382" s="169">
        <f t="shared" si="9"/>
        <v>24033.12092</v>
      </c>
      <c r="P382" s="170">
        <f t="shared" ref="P382:Q382" si="287">P381+$L$7</f>
        <v>136199.2448</v>
      </c>
      <c r="Q382" s="171">
        <f t="shared" si="287"/>
        <v>136199.2448</v>
      </c>
      <c r="R382" s="172"/>
    </row>
    <row r="383" ht="14.25" customHeight="1" outlineLevel="1">
      <c r="A383" s="1"/>
      <c r="B383" s="163"/>
      <c r="C383" s="163"/>
      <c r="D383" s="164"/>
      <c r="E383" s="164">
        <v>280.0</v>
      </c>
      <c r="F383" s="165">
        <f t="shared" si="5"/>
        <v>302478.4889</v>
      </c>
      <c r="G383" s="166">
        <f t="shared" si="2"/>
        <v>173.9251311</v>
      </c>
      <c r="H383" s="167">
        <f t="shared" si="3"/>
        <v>21457.85904</v>
      </c>
      <c r="I383" s="168">
        <f t="shared" si="6"/>
        <v>18867.27731</v>
      </c>
      <c r="J383" s="1"/>
      <c r="K383" s="164"/>
      <c r="L383" s="164">
        <v>280.0</v>
      </c>
      <c r="M383" s="165">
        <f t="shared" si="7"/>
        <v>281020.6298</v>
      </c>
      <c r="N383" s="166">
        <f t="shared" si="8"/>
        <v>171.3502489</v>
      </c>
      <c r="O383" s="169">
        <f t="shared" si="9"/>
        <v>24204.47117</v>
      </c>
      <c r="P383" s="170">
        <f t="shared" ref="P383:Q383" si="288">P382+$L$7</f>
        <v>136687.4142</v>
      </c>
      <c r="Q383" s="171">
        <f t="shared" si="288"/>
        <v>136687.4142</v>
      </c>
      <c r="R383" s="172"/>
    </row>
    <row r="384" ht="14.25" customHeight="1" outlineLevel="1">
      <c r="A384" s="1"/>
      <c r="B384" s="163"/>
      <c r="C384" s="163"/>
      <c r="D384" s="164"/>
      <c r="E384" s="164">
        <v>281.0</v>
      </c>
      <c r="F384" s="165">
        <f t="shared" si="5"/>
        <v>304504.7672</v>
      </c>
      <c r="G384" s="166">
        <f t="shared" si="2"/>
        <v>175.0902412</v>
      </c>
      <c r="H384" s="167">
        <f t="shared" si="3"/>
        <v>21576.59545</v>
      </c>
      <c r="I384" s="168">
        <f t="shared" si="6"/>
        <v>19042.36755</v>
      </c>
      <c r="J384" s="1"/>
      <c r="K384" s="164"/>
      <c r="L384" s="164">
        <v>281.0</v>
      </c>
      <c r="M384" s="165">
        <f t="shared" si="7"/>
        <v>282928.1718</v>
      </c>
      <c r="N384" s="166">
        <f t="shared" si="8"/>
        <v>172.4470855</v>
      </c>
      <c r="O384" s="169">
        <f t="shared" si="9"/>
        <v>24376.91825</v>
      </c>
      <c r="P384" s="170">
        <f t="shared" ref="P384:Q384" si="289">P383+$L$7</f>
        <v>137175.5835</v>
      </c>
      <c r="Q384" s="171">
        <f t="shared" si="289"/>
        <v>137175.5835</v>
      </c>
      <c r="R384" s="172"/>
    </row>
    <row r="385" ht="14.25" customHeight="1" outlineLevel="1">
      <c r="A385" s="1"/>
      <c r="B385" s="163"/>
      <c r="C385" s="163"/>
      <c r="D385" s="164"/>
      <c r="E385" s="164">
        <v>282.0</v>
      </c>
      <c r="F385" s="165">
        <f t="shared" si="5"/>
        <v>306541.3307</v>
      </c>
      <c r="G385" s="166">
        <f t="shared" si="2"/>
        <v>176.2612652</v>
      </c>
      <c r="H385" s="167">
        <f t="shared" si="3"/>
        <v>21695.93456</v>
      </c>
      <c r="I385" s="168">
        <f t="shared" si="6"/>
        <v>19218.62882</v>
      </c>
      <c r="J385" s="1"/>
      <c r="K385" s="164"/>
      <c r="L385" s="164">
        <v>282.0</v>
      </c>
      <c r="M385" s="165">
        <f t="shared" si="7"/>
        <v>284845.3962</v>
      </c>
      <c r="N385" s="166">
        <f t="shared" si="8"/>
        <v>173.5494895</v>
      </c>
      <c r="O385" s="169">
        <f t="shared" si="9"/>
        <v>24550.46774</v>
      </c>
      <c r="P385" s="170">
        <f t="shared" ref="P385:Q385" si="290">P384+$L$7</f>
        <v>137663.7529</v>
      </c>
      <c r="Q385" s="171">
        <f t="shared" si="290"/>
        <v>137663.7529</v>
      </c>
      <c r="R385" s="172"/>
    </row>
    <row r="386" ht="14.25" customHeight="1" outlineLevel="1">
      <c r="A386" s="1"/>
      <c r="B386" s="163"/>
      <c r="C386" s="163"/>
      <c r="D386" s="164"/>
      <c r="E386" s="164">
        <v>283.0</v>
      </c>
      <c r="F386" s="165">
        <f t="shared" si="5"/>
        <v>308588.2316</v>
      </c>
      <c r="G386" s="166">
        <f t="shared" si="2"/>
        <v>177.4382332</v>
      </c>
      <c r="H386" s="167">
        <f t="shared" si="3"/>
        <v>21815.87942</v>
      </c>
      <c r="I386" s="168">
        <f t="shared" si="6"/>
        <v>19396.06705</v>
      </c>
      <c r="J386" s="1"/>
      <c r="K386" s="164"/>
      <c r="L386" s="164">
        <v>283.0</v>
      </c>
      <c r="M386" s="165">
        <f t="shared" si="7"/>
        <v>286772.3522</v>
      </c>
      <c r="N386" s="166">
        <f t="shared" si="8"/>
        <v>174.6574893</v>
      </c>
      <c r="O386" s="169">
        <f t="shared" si="9"/>
        <v>24725.12523</v>
      </c>
      <c r="P386" s="170">
        <f t="shared" ref="P386:Q386" si="291">P385+$L$7</f>
        <v>138151.9222</v>
      </c>
      <c r="Q386" s="171">
        <f t="shared" si="291"/>
        <v>138151.9222</v>
      </c>
      <c r="R386" s="172"/>
    </row>
    <row r="387" ht="14.25" customHeight="1" outlineLevel="1">
      <c r="A387" s="1"/>
      <c r="B387" s="163"/>
      <c r="C387" s="163"/>
      <c r="D387" s="164"/>
      <c r="E387" s="164">
        <v>284.0</v>
      </c>
      <c r="F387" s="165">
        <f t="shared" si="5"/>
        <v>310645.5224</v>
      </c>
      <c r="G387" s="166">
        <f t="shared" si="2"/>
        <v>178.6211754</v>
      </c>
      <c r="H387" s="167">
        <f t="shared" si="3"/>
        <v>21936.4331</v>
      </c>
      <c r="I387" s="168">
        <f t="shared" si="6"/>
        <v>19574.68823</v>
      </c>
      <c r="J387" s="1"/>
      <c r="K387" s="164"/>
      <c r="L387" s="164">
        <v>284.0</v>
      </c>
      <c r="M387" s="165">
        <f t="shared" si="7"/>
        <v>288709.0893</v>
      </c>
      <c r="N387" s="166">
        <f t="shared" si="8"/>
        <v>175.7711131</v>
      </c>
      <c r="O387" s="169">
        <f t="shared" si="9"/>
        <v>24900.89635</v>
      </c>
      <c r="P387" s="170">
        <f t="shared" ref="P387:Q387" si="292">P386+$L$7</f>
        <v>138640.0915</v>
      </c>
      <c r="Q387" s="171">
        <f t="shared" si="292"/>
        <v>138640.0915</v>
      </c>
      <c r="R387" s="172"/>
    </row>
    <row r="388" ht="14.25" customHeight="1" outlineLevel="1">
      <c r="A388" s="1"/>
      <c r="B388" s="163"/>
      <c r="C388" s="163"/>
      <c r="D388" s="164"/>
      <c r="E388" s="164">
        <v>285.0</v>
      </c>
      <c r="F388" s="165">
        <f t="shared" si="5"/>
        <v>312713.2557</v>
      </c>
      <c r="G388" s="166">
        <f t="shared" si="2"/>
        <v>179.810122</v>
      </c>
      <c r="H388" s="167">
        <f t="shared" si="3"/>
        <v>22057.59871</v>
      </c>
      <c r="I388" s="168">
        <f t="shared" si="6"/>
        <v>19754.49835</v>
      </c>
      <c r="J388" s="1"/>
      <c r="K388" s="164"/>
      <c r="L388" s="164">
        <v>285.0</v>
      </c>
      <c r="M388" s="165">
        <f t="shared" si="7"/>
        <v>290655.657</v>
      </c>
      <c r="N388" s="166">
        <f t="shared" si="8"/>
        <v>176.8903895</v>
      </c>
      <c r="O388" s="169">
        <f t="shared" si="9"/>
        <v>25077.78673</v>
      </c>
      <c r="P388" s="170">
        <f t="shared" ref="P388:Q388" si="293">P387+$L$7</f>
        <v>139128.2609</v>
      </c>
      <c r="Q388" s="171">
        <f t="shared" si="293"/>
        <v>139128.2609</v>
      </c>
      <c r="R388" s="172"/>
    </row>
    <row r="389" ht="14.25" customHeight="1" outlineLevel="1">
      <c r="A389" s="1"/>
      <c r="B389" s="163"/>
      <c r="C389" s="163"/>
      <c r="D389" s="164"/>
      <c r="E389" s="164">
        <v>286.0</v>
      </c>
      <c r="F389" s="165">
        <f t="shared" si="5"/>
        <v>314791.4847</v>
      </c>
      <c r="G389" s="166">
        <f t="shared" si="2"/>
        <v>181.0051037</v>
      </c>
      <c r="H389" s="167">
        <f t="shared" si="3"/>
        <v>22179.37934</v>
      </c>
      <c r="I389" s="168">
        <f t="shared" si="6"/>
        <v>19935.50345</v>
      </c>
      <c r="J389" s="1"/>
      <c r="K389" s="164"/>
      <c r="L389" s="164">
        <v>286.0</v>
      </c>
      <c r="M389" s="165">
        <f t="shared" si="7"/>
        <v>292612.1053</v>
      </c>
      <c r="N389" s="166">
        <f t="shared" si="8"/>
        <v>178.0153473</v>
      </c>
      <c r="O389" s="169">
        <f t="shared" si="9"/>
        <v>25255.80208</v>
      </c>
      <c r="P389" s="170">
        <f t="shared" ref="P389:Q389" si="294">P388+$L$7</f>
        <v>139616.4302</v>
      </c>
      <c r="Q389" s="171">
        <f t="shared" si="294"/>
        <v>139616.4302</v>
      </c>
      <c r="R389" s="172"/>
    </row>
    <row r="390" ht="14.25" customHeight="1" outlineLevel="1">
      <c r="A390" s="1"/>
      <c r="B390" s="163"/>
      <c r="C390" s="163"/>
      <c r="D390" s="164"/>
      <c r="E390" s="164">
        <v>287.0</v>
      </c>
      <c r="F390" s="165">
        <f t="shared" si="5"/>
        <v>316880.2625</v>
      </c>
      <c r="G390" s="166">
        <f t="shared" si="2"/>
        <v>182.2061509</v>
      </c>
      <c r="H390" s="167">
        <f t="shared" si="3"/>
        <v>22301.77811</v>
      </c>
      <c r="I390" s="168">
        <f t="shared" si="6"/>
        <v>20117.7096</v>
      </c>
      <c r="J390" s="1"/>
      <c r="K390" s="164"/>
      <c r="L390" s="164">
        <v>287.0</v>
      </c>
      <c r="M390" s="165">
        <f t="shared" si="7"/>
        <v>294578.4843</v>
      </c>
      <c r="N390" s="166">
        <f t="shared" si="8"/>
        <v>179.1460152</v>
      </c>
      <c r="O390" s="169">
        <f t="shared" si="9"/>
        <v>25434.9481</v>
      </c>
      <c r="P390" s="170">
        <f t="shared" ref="P390:Q390" si="295">P389+$L$7</f>
        <v>140104.5995</v>
      </c>
      <c r="Q390" s="171">
        <f t="shared" si="295"/>
        <v>140104.5995</v>
      </c>
      <c r="R390" s="172"/>
    </row>
    <row r="391" ht="14.25" customHeight="1" outlineLevel="1">
      <c r="A391" s="1"/>
      <c r="B391" s="163"/>
      <c r="C391" s="163"/>
      <c r="D391" s="164">
        <v>24.0</v>
      </c>
      <c r="E391" s="164">
        <v>288.0</v>
      </c>
      <c r="F391" s="165">
        <f t="shared" si="5"/>
        <v>318979.6427</v>
      </c>
      <c r="G391" s="166">
        <f t="shared" si="2"/>
        <v>183.4132945</v>
      </c>
      <c r="H391" s="167">
        <f t="shared" si="3"/>
        <v>22424.79817</v>
      </c>
      <c r="I391" s="168">
        <f t="shared" si="6"/>
        <v>20301.1229</v>
      </c>
      <c r="J391" s="1"/>
      <c r="K391" s="164">
        <v>24.0</v>
      </c>
      <c r="L391" s="164">
        <v>288.0</v>
      </c>
      <c r="M391" s="165">
        <f t="shared" si="7"/>
        <v>296554.8445</v>
      </c>
      <c r="N391" s="166">
        <f t="shared" si="8"/>
        <v>180.2824223</v>
      </c>
      <c r="O391" s="169">
        <f t="shared" si="9"/>
        <v>25615.23052</v>
      </c>
      <c r="P391" s="170">
        <f t="shared" ref="P391:Q391" si="296">P390+$L$7</f>
        <v>140592.7689</v>
      </c>
      <c r="Q391" s="171">
        <f t="shared" si="296"/>
        <v>140592.7689</v>
      </c>
      <c r="R391" s="172"/>
    </row>
    <row r="392" ht="14.25" customHeight="1" outlineLevel="1">
      <c r="A392" s="1"/>
      <c r="B392" s="163"/>
      <c r="C392" s="163"/>
      <c r="D392" s="164"/>
      <c r="E392" s="164">
        <v>289.0</v>
      </c>
      <c r="F392" s="165">
        <f t="shared" si="5"/>
        <v>321089.6791</v>
      </c>
      <c r="G392" s="166">
        <f t="shared" si="2"/>
        <v>184.6265655</v>
      </c>
      <c r="H392" s="167">
        <f t="shared" si="3"/>
        <v>22548.44267</v>
      </c>
      <c r="I392" s="168">
        <f t="shared" si="6"/>
        <v>20485.74946</v>
      </c>
      <c r="J392" s="1"/>
      <c r="K392" s="164"/>
      <c r="L392" s="164">
        <v>289.0</v>
      </c>
      <c r="M392" s="165">
        <f t="shared" si="7"/>
        <v>298541.2365</v>
      </c>
      <c r="N392" s="166">
        <f t="shared" si="8"/>
        <v>181.4245977</v>
      </c>
      <c r="O392" s="169">
        <f t="shared" si="9"/>
        <v>25796.65512</v>
      </c>
      <c r="P392" s="170">
        <f t="shared" ref="P392:Q392" si="297">P391+$L$7</f>
        <v>141080.9382</v>
      </c>
      <c r="Q392" s="171">
        <f t="shared" si="297"/>
        <v>141080.9382</v>
      </c>
      <c r="R392" s="172"/>
    </row>
    <row r="393" ht="14.25" customHeight="1" outlineLevel="1">
      <c r="A393" s="1"/>
      <c r="B393" s="163"/>
      <c r="C393" s="163"/>
      <c r="D393" s="164"/>
      <c r="E393" s="164">
        <v>290.0</v>
      </c>
      <c r="F393" s="165">
        <f t="shared" si="5"/>
        <v>323210.4259</v>
      </c>
      <c r="G393" s="166">
        <f t="shared" si="2"/>
        <v>185.8459949</v>
      </c>
      <c r="H393" s="167">
        <f t="shared" si="3"/>
        <v>22672.71477</v>
      </c>
      <c r="I393" s="168">
        <f t="shared" si="6"/>
        <v>20671.59546</v>
      </c>
      <c r="J393" s="1"/>
      <c r="K393" s="164"/>
      <c r="L393" s="164">
        <v>290.0</v>
      </c>
      <c r="M393" s="165">
        <f t="shared" si="7"/>
        <v>300537.7111</v>
      </c>
      <c r="N393" s="166">
        <f t="shared" si="8"/>
        <v>182.5725706</v>
      </c>
      <c r="O393" s="169">
        <f t="shared" si="9"/>
        <v>25979.22769</v>
      </c>
      <c r="P393" s="170">
        <f t="shared" ref="P393:Q393" si="298">P392+$L$7</f>
        <v>141569.1075</v>
      </c>
      <c r="Q393" s="171">
        <f t="shared" si="298"/>
        <v>141569.1075</v>
      </c>
      <c r="R393" s="172"/>
    </row>
    <row r="394" ht="14.25" customHeight="1" outlineLevel="1">
      <c r="A394" s="1"/>
      <c r="B394" s="163"/>
      <c r="C394" s="163"/>
      <c r="D394" s="164"/>
      <c r="E394" s="164">
        <v>291.0</v>
      </c>
      <c r="F394" s="165">
        <f t="shared" si="5"/>
        <v>325341.9374</v>
      </c>
      <c r="G394" s="166">
        <f t="shared" si="2"/>
        <v>187.071614</v>
      </c>
      <c r="H394" s="167">
        <f t="shared" si="3"/>
        <v>22797.61766</v>
      </c>
      <c r="I394" s="168">
        <f t="shared" si="6"/>
        <v>20858.66707</v>
      </c>
      <c r="J394" s="1"/>
      <c r="K394" s="164"/>
      <c r="L394" s="164">
        <v>291.0</v>
      </c>
      <c r="M394" s="165">
        <f t="shared" si="7"/>
        <v>302544.3197</v>
      </c>
      <c r="N394" s="166">
        <f t="shared" si="8"/>
        <v>183.7263706</v>
      </c>
      <c r="O394" s="169">
        <f t="shared" si="9"/>
        <v>26162.95406</v>
      </c>
      <c r="P394" s="170">
        <f t="shared" ref="P394:Q394" si="299">P393+$L$7</f>
        <v>142057.2769</v>
      </c>
      <c r="Q394" s="171">
        <f t="shared" si="299"/>
        <v>142057.2769</v>
      </c>
      <c r="R394" s="172"/>
    </row>
    <row r="395" ht="14.25" customHeight="1" outlineLevel="1">
      <c r="A395" s="1"/>
      <c r="B395" s="163"/>
      <c r="C395" s="163"/>
      <c r="D395" s="164"/>
      <c r="E395" s="164">
        <v>292.0</v>
      </c>
      <c r="F395" s="165">
        <f t="shared" si="5"/>
        <v>327484.2682</v>
      </c>
      <c r="G395" s="166">
        <f t="shared" si="2"/>
        <v>188.3034542</v>
      </c>
      <c r="H395" s="167">
        <f t="shared" si="3"/>
        <v>22923.15455</v>
      </c>
      <c r="I395" s="168">
        <f t="shared" si="6"/>
        <v>21046.97052</v>
      </c>
      <c r="J395" s="1"/>
      <c r="K395" s="164"/>
      <c r="L395" s="164">
        <v>292.0</v>
      </c>
      <c r="M395" s="165">
        <f t="shared" si="7"/>
        <v>304561.1136</v>
      </c>
      <c r="N395" s="166">
        <f t="shared" si="8"/>
        <v>184.8860271</v>
      </c>
      <c r="O395" s="169">
        <f t="shared" si="9"/>
        <v>26347.84009</v>
      </c>
      <c r="P395" s="170">
        <f t="shared" ref="P395:Q395" si="300">P394+$L$7</f>
        <v>142545.4462</v>
      </c>
      <c r="Q395" s="171">
        <f t="shared" si="300"/>
        <v>142545.4462</v>
      </c>
      <c r="R395" s="172"/>
    </row>
    <row r="396" ht="14.25" customHeight="1" outlineLevel="1">
      <c r="A396" s="1"/>
      <c r="B396" s="163"/>
      <c r="C396" s="163"/>
      <c r="D396" s="164"/>
      <c r="E396" s="164">
        <v>293.0</v>
      </c>
      <c r="F396" s="165">
        <f t="shared" si="5"/>
        <v>329637.4732</v>
      </c>
      <c r="G396" s="166">
        <f t="shared" si="2"/>
        <v>189.5415471</v>
      </c>
      <c r="H396" s="167">
        <f t="shared" si="3"/>
        <v>23049.32865</v>
      </c>
      <c r="I396" s="168">
        <f t="shared" si="6"/>
        <v>21236.51207</v>
      </c>
      <c r="J396" s="1"/>
      <c r="K396" s="164"/>
      <c r="L396" s="164">
        <v>293.0</v>
      </c>
      <c r="M396" s="165">
        <f t="shared" si="7"/>
        <v>306588.1445</v>
      </c>
      <c r="N396" s="166">
        <f t="shared" si="8"/>
        <v>186.0515698</v>
      </c>
      <c r="O396" s="169">
        <f t="shared" si="9"/>
        <v>26533.89166</v>
      </c>
      <c r="P396" s="170">
        <f t="shared" ref="P396:Q396" si="301">P395+$L$7</f>
        <v>143033.6156</v>
      </c>
      <c r="Q396" s="171">
        <f t="shared" si="301"/>
        <v>143033.6156</v>
      </c>
      <c r="R396" s="172"/>
    </row>
    <row r="397" ht="14.25" customHeight="1" outlineLevel="1">
      <c r="A397" s="1"/>
      <c r="B397" s="163"/>
      <c r="C397" s="163"/>
      <c r="D397" s="164"/>
      <c r="E397" s="164">
        <v>294.0</v>
      </c>
      <c r="F397" s="165">
        <f t="shared" si="5"/>
        <v>331801.6077</v>
      </c>
      <c r="G397" s="166">
        <f t="shared" si="2"/>
        <v>190.7859244</v>
      </c>
      <c r="H397" s="167">
        <f t="shared" si="3"/>
        <v>23176.14319</v>
      </c>
      <c r="I397" s="168">
        <f t="shared" si="6"/>
        <v>21427.298</v>
      </c>
      <c r="J397" s="1"/>
      <c r="K397" s="164"/>
      <c r="L397" s="164">
        <v>294.0</v>
      </c>
      <c r="M397" s="165">
        <f t="shared" si="7"/>
        <v>308625.4645</v>
      </c>
      <c r="N397" s="166">
        <f t="shared" si="8"/>
        <v>187.2230288</v>
      </c>
      <c r="O397" s="169">
        <f t="shared" si="9"/>
        <v>26721.11468</v>
      </c>
      <c r="P397" s="170">
        <f t="shared" ref="P397:Q397" si="302">P396+$L$7</f>
        <v>143521.7849</v>
      </c>
      <c r="Q397" s="171">
        <f t="shared" si="302"/>
        <v>143521.7849</v>
      </c>
      <c r="R397" s="172"/>
    </row>
    <row r="398" ht="14.25" customHeight="1" outlineLevel="1">
      <c r="A398" s="1"/>
      <c r="B398" s="163"/>
      <c r="C398" s="163"/>
      <c r="D398" s="164"/>
      <c r="E398" s="164">
        <v>295.0</v>
      </c>
      <c r="F398" s="165">
        <f t="shared" si="5"/>
        <v>333976.7271</v>
      </c>
      <c r="G398" s="166">
        <f t="shared" si="2"/>
        <v>192.0366181</v>
      </c>
      <c r="H398" s="167">
        <f t="shared" si="3"/>
        <v>23303.60143</v>
      </c>
      <c r="I398" s="168">
        <f t="shared" si="6"/>
        <v>21619.33461</v>
      </c>
      <c r="J398" s="1"/>
      <c r="K398" s="164"/>
      <c r="L398" s="164">
        <v>295.0</v>
      </c>
      <c r="M398" s="165">
        <f t="shared" si="7"/>
        <v>310673.1256</v>
      </c>
      <c r="N398" s="166">
        <f t="shared" si="8"/>
        <v>188.400434</v>
      </c>
      <c r="O398" s="169">
        <f t="shared" si="9"/>
        <v>26909.51512</v>
      </c>
      <c r="P398" s="170">
        <f t="shared" ref="P398:Q398" si="303">P397+$L$7</f>
        <v>144009.9542</v>
      </c>
      <c r="Q398" s="171">
        <f t="shared" si="303"/>
        <v>144009.9542</v>
      </c>
      <c r="R398" s="172"/>
    </row>
    <row r="399" ht="14.25" customHeight="1" outlineLevel="1">
      <c r="A399" s="1"/>
      <c r="B399" s="163"/>
      <c r="C399" s="163"/>
      <c r="D399" s="164"/>
      <c r="E399" s="164">
        <v>296.0</v>
      </c>
      <c r="F399" s="165">
        <f t="shared" si="5"/>
        <v>336162.8871</v>
      </c>
      <c r="G399" s="166">
        <f t="shared" si="2"/>
        <v>193.2936601</v>
      </c>
      <c r="H399" s="167">
        <f t="shared" si="3"/>
        <v>23431.70664</v>
      </c>
      <c r="I399" s="168">
        <f t="shared" si="6"/>
        <v>21812.62827</v>
      </c>
      <c r="J399" s="1"/>
      <c r="K399" s="164"/>
      <c r="L399" s="164">
        <v>296.0</v>
      </c>
      <c r="M399" s="165">
        <f t="shared" si="7"/>
        <v>312731.1805</v>
      </c>
      <c r="N399" s="166">
        <f t="shared" si="8"/>
        <v>189.5838155</v>
      </c>
      <c r="O399" s="169">
        <f t="shared" si="9"/>
        <v>27099.09893</v>
      </c>
      <c r="P399" s="170">
        <f t="shared" ref="P399:Q399" si="304">P398+$L$7</f>
        <v>144498.1236</v>
      </c>
      <c r="Q399" s="171">
        <f t="shared" si="304"/>
        <v>144498.1236</v>
      </c>
      <c r="R399" s="172"/>
    </row>
    <row r="400" ht="14.25" customHeight="1" outlineLevel="1">
      <c r="A400" s="1"/>
      <c r="B400" s="163"/>
      <c r="C400" s="163"/>
      <c r="D400" s="164"/>
      <c r="E400" s="164">
        <v>297.0</v>
      </c>
      <c r="F400" s="165">
        <f t="shared" si="5"/>
        <v>338360.1439</v>
      </c>
      <c r="G400" s="166">
        <f t="shared" si="2"/>
        <v>194.5570827</v>
      </c>
      <c r="H400" s="167">
        <f t="shared" si="3"/>
        <v>23560.46209</v>
      </c>
      <c r="I400" s="168">
        <f t="shared" si="6"/>
        <v>22007.18536</v>
      </c>
      <c r="J400" s="1"/>
      <c r="K400" s="164"/>
      <c r="L400" s="164">
        <v>297.0</v>
      </c>
      <c r="M400" s="165">
        <f t="shared" si="7"/>
        <v>314799.6818</v>
      </c>
      <c r="N400" s="166">
        <f t="shared" si="8"/>
        <v>190.7732038</v>
      </c>
      <c r="O400" s="169">
        <f t="shared" si="9"/>
        <v>27289.87214</v>
      </c>
      <c r="P400" s="170">
        <f t="shared" ref="P400:Q400" si="305">P399+$L$7</f>
        <v>144986.2929</v>
      </c>
      <c r="Q400" s="171">
        <f t="shared" si="305"/>
        <v>144986.2929</v>
      </c>
      <c r="R400" s="172"/>
    </row>
    <row r="401" ht="14.25" customHeight="1" outlineLevel="1">
      <c r="A401" s="1"/>
      <c r="B401" s="163"/>
      <c r="C401" s="163"/>
      <c r="D401" s="164"/>
      <c r="E401" s="164">
        <v>298.0</v>
      </c>
      <c r="F401" s="165">
        <f t="shared" si="5"/>
        <v>340568.5537</v>
      </c>
      <c r="G401" s="166">
        <f t="shared" si="2"/>
        <v>195.8269184</v>
      </c>
      <c r="H401" s="167">
        <f t="shared" si="3"/>
        <v>23689.8711</v>
      </c>
      <c r="I401" s="168">
        <f t="shared" si="6"/>
        <v>22203.01228</v>
      </c>
      <c r="J401" s="1"/>
      <c r="K401" s="164"/>
      <c r="L401" s="164">
        <v>298.0</v>
      </c>
      <c r="M401" s="165">
        <f t="shared" si="7"/>
        <v>316878.6826</v>
      </c>
      <c r="N401" s="166">
        <f t="shared" si="8"/>
        <v>191.9686292</v>
      </c>
      <c r="O401" s="169">
        <f t="shared" si="9"/>
        <v>27481.84077</v>
      </c>
      <c r="P401" s="170">
        <f t="shared" ref="P401:Q401" si="306">P400+$L$7</f>
        <v>145474.4622</v>
      </c>
      <c r="Q401" s="171">
        <f t="shared" si="306"/>
        <v>145474.4622</v>
      </c>
      <c r="R401" s="172"/>
    </row>
    <row r="402" ht="14.25" customHeight="1" outlineLevel="1">
      <c r="A402" s="1"/>
      <c r="B402" s="163"/>
      <c r="C402" s="163"/>
      <c r="D402" s="164"/>
      <c r="E402" s="164">
        <v>299.0</v>
      </c>
      <c r="F402" s="165">
        <f t="shared" si="5"/>
        <v>342788.1732</v>
      </c>
      <c r="G402" s="166">
        <f t="shared" si="2"/>
        <v>197.1031996</v>
      </c>
      <c r="H402" s="167">
        <f t="shared" si="3"/>
        <v>23819.93697</v>
      </c>
      <c r="I402" s="168">
        <f t="shared" si="6"/>
        <v>22400.11548</v>
      </c>
      <c r="J402" s="1"/>
      <c r="K402" s="164"/>
      <c r="L402" s="164">
        <v>299.0</v>
      </c>
      <c r="M402" s="165">
        <f t="shared" si="7"/>
        <v>318968.2362</v>
      </c>
      <c r="N402" s="166">
        <f t="shared" si="8"/>
        <v>193.1701226</v>
      </c>
      <c r="O402" s="169">
        <f t="shared" si="9"/>
        <v>27675.01089</v>
      </c>
      <c r="P402" s="170">
        <f t="shared" ref="P402:Q402" si="307">P401+$L$7</f>
        <v>145962.6316</v>
      </c>
      <c r="Q402" s="171">
        <f t="shared" si="307"/>
        <v>145962.6316</v>
      </c>
      <c r="R402" s="172"/>
    </row>
    <row r="403" ht="14.25" customHeight="1" outlineLevel="1">
      <c r="A403" s="1"/>
      <c r="B403" s="163"/>
      <c r="C403" s="163"/>
      <c r="D403" s="164">
        <v>25.0</v>
      </c>
      <c r="E403" s="164">
        <v>300.0</v>
      </c>
      <c r="F403" s="165">
        <f t="shared" si="5"/>
        <v>345019.0592</v>
      </c>
      <c r="G403" s="166">
        <f t="shared" si="2"/>
        <v>198.3859591</v>
      </c>
      <c r="H403" s="167">
        <f t="shared" si="3"/>
        <v>23950.66304</v>
      </c>
      <c r="I403" s="168">
        <f t="shared" si="6"/>
        <v>22598.50143</v>
      </c>
      <c r="J403" s="1"/>
      <c r="K403" s="164">
        <v>25.0</v>
      </c>
      <c r="L403" s="164">
        <v>300.0</v>
      </c>
      <c r="M403" s="165">
        <f t="shared" si="7"/>
        <v>321068.3962</v>
      </c>
      <c r="N403" s="166">
        <f t="shared" si="8"/>
        <v>194.3777145</v>
      </c>
      <c r="O403" s="169">
        <f t="shared" si="9"/>
        <v>27869.3886</v>
      </c>
      <c r="P403" s="170">
        <f t="shared" ref="P403:Q403" si="308">P402+$L$7</f>
        <v>146450.8009</v>
      </c>
      <c r="Q403" s="171">
        <f t="shared" si="308"/>
        <v>146450.8009</v>
      </c>
      <c r="R403" s="172"/>
    </row>
    <row r="404" ht="14.25" customHeight="1" outlineLevel="1">
      <c r="A404" s="1"/>
      <c r="B404" s="163"/>
      <c r="C404" s="163"/>
      <c r="D404" s="164"/>
      <c r="E404" s="164">
        <v>301.0</v>
      </c>
      <c r="F404" s="165">
        <f t="shared" si="5"/>
        <v>347261.269</v>
      </c>
      <c r="G404" s="166">
        <f t="shared" si="2"/>
        <v>199.6752297</v>
      </c>
      <c r="H404" s="167">
        <f t="shared" si="3"/>
        <v>24082.05267</v>
      </c>
      <c r="I404" s="168">
        <f t="shared" si="6"/>
        <v>22798.17666</v>
      </c>
      <c r="J404" s="1"/>
      <c r="K404" s="164"/>
      <c r="L404" s="164">
        <v>301.0</v>
      </c>
      <c r="M404" s="165">
        <f t="shared" si="7"/>
        <v>323179.2164</v>
      </c>
      <c r="N404" s="166">
        <f t="shared" si="8"/>
        <v>195.5914361</v>
      </c>
      <c r="O404" s="169">
        <f t="shared" si="9"/>
        <v>28064.98004</v>
      </c>
      <c r="P404" s="170">
        <f t="shared" ref="P404:Q404" si="309">P403+$L$7</f>
        <v>146938.9702</v>
      </c>
      <c r="Q404" s="171">
        <f t="shared" si="309"/>
        <v>146938.9702</v>
      </c>
      <c r="R404" s="172"/>
    </row>
    <row r="405" ht="14.25" customHeight="1" outlineLevel="1">
      <c r="A405" s="1"/>
      <c r="B405" s="163"/>
      <c r="C405" s="163"/>
      <c r="D405" s="164"/>
      <c r="E405" s="164">
        <v>302.0</v>
      </c>
      <c r="F405" s="165">
        <f t="shared" si="5"/>
        <v>349514.86</v>
      </c>
      <c r="G405" s="166">
        <f t="shared" si="2"/>
        <v>200.9710445</v>
      </c>
      <c r="H405" s="167">
        <f t="shared" si="3"/>
        <v>24214.10921</v>
      </c>
      <c r="I405" s="168">
        <f t="shared" si="6"/>
        <v>22999.14771</v>
      </c>
      <c r="J405" s="1"/>
      <c r="K405" s="164"/>
      <c r="L405" s="164">
        <v>302.0</v>
      </c>
      <c r="M405" s="165">
        <f t="shared" si="7"/>
        <v>325300.7508</v>
      </c>
      <c r="N405" s="166">
        <f t="shared" si="8"/>
        <v>196.8113184</v>
      </c>
      <c r="O405" s="169">
        <f t="shared" si="9"/>
        <v>28261.79136</v>
      </c>
      <c r="P405" s="170">
        <f t="shared" ref="P405:Q405" si="310">P404+$L$7</f>
        <v>147427.1396</v>
      </c>
      <c r="Q405" s="171">
        <f t="shared" si="310"/>
        <v>147427.1396</v>
      </c>
      <c r="R405" s="172"/>
    </row>
    <row r="406" ht="14.25" customHeight="1" outlineLevel="1">
      <c r="A406" s="1"/>
      <c r="B406" s="163"/>
      <c r="C406" s="163"/>
      <c r="D406" s="164"/>
      <c r="E406" s="164">
        <v>303.0</v>
      </c>
      <c r="F406" s="165">
        <f t="shared" si="5"/>
        <v>351779.89</v>
      </c>
      <c r="G406" s="166">
        <f t="shared" si="2"/>
        <v>202.2734368</v>
      </c>
      <c r="H406" s="167">
        <f t="shared" si="3"/>
        <v>24346.83606</v>
      </c>
      <c r="I406" s="168">
        <f t="shared" si="6"/>
        <v>23201.42115</v>
      </c>
      <c r="J406" s="1"/>
      <c r="K406" s="164"/>
      <c r="L406" s="164">
        <v>303.0</v>
      </c>
      <c r="M406" s="165">
        <f t="shared" si="7"/>
        <v>327433.0539</v>
      </c>
      <c r="N406" s="166">
        <f t="shared" si="8"/>
        <v>198.0373927</v>
      </c>
      <c r="O406" s="169">
        <f t="shared" si="9"/>
        <v>28459.82875</v>
      </c>
      <c r="P406" s="170">
        <f t="shared" ref="P406:Q406" si="311">P405+$L$7</f>
        <v>147915.3089</v>
      </c>
      <c r="Q406" s="171">
        <f t="shared" si="311"/>
        <v>147915.3089</v>
      </c>
      <c r="R406" s="172"/>
    </row>
    <row r="407" ht="14.25" customHeight="1" outlineLevel="1">
      <c r="A407" s="1"/>
      <c r="B407" s="163"/>
      <c r="C407" s="163"/>
      <c r="D407" s="164"/>
      <c r="E407" s="164">
        <v>304.0</v>
      </c>
      <c r="F407" s="165">
        <f t="shared" si="5"/>
        <v>354056.417</v>
      </c>
      <c r="G407" s="166">
        <f t="shared" si="2"/>
        <v>203.5824398</v>
      </c>
      <c r="H407" s="167">
        <f t="shared" si="3"/>
        <v>24480.23661</v>
      </c>
      <c r="I407" s="168">
        <f t="shared" si="6"/>
        <v>23405.00358</v>
      </c>
      <c r="J407" s="1"/>
      <c r="K407" s="164"/>
      <c r="L407" s="164">
        <v>304.0</v>
      </c>
      <c r="M407" s="165">
        <f t="shared" si="7"/>
        <v>329576.1804</v>
      </c>
      <c r="N407" s="166">
        <f t="shared" si="8"/>
        <v>199.2696905</v>
      </c>
      <c r="O407" s="169">
        <f t="shared" si="9"/>
        <v>28659.09844</v>
      </c>
      <c r="P407" s="170">
        <f t="shared" ref="P407:Q407" si="312">P406+$L$7</f>
        <v>148403.4783</v>
      </c>
      <c r="Q407" s="171">
        <f t="shared" si="312"/>
        <v>148403.4783</v>
      </c>
      <c r="R407" s="172"/>
    </row>
    <row r="408" ht="14.25" customHeight="1" outlineLevel="1">
      <c r="A408" s="1"/>
      <c r="B408" s="163"/>
      <c r="C408" s="163"/>
      <c r="D408" s="164"/>
      <c r="E408" s="164">
        <v>305.0</v>
      </c>
      <c r="F408" s="165">
        <f t="shared" si="5"/>
        <v>356344.4995</v>
      </c>
      <c r="G408" s="166">
        <f t="shared" si="2"/>
        <v>204.8980872</v>
      </c>
      <c r="H408" s="167">
        <f t="shared" si="3"/>
        <v>24614.31429</v>
      </c>
      <c r="I408" s="168">
        <f t="shared" si="6"/>
        <v>23609.90167</v>
      </c>
      <c r="J408" s="1"/>
      <c r="K408" s="164"/>
      <c r="L408" s="164">
        <v>305.0</v>
      </c>
      <c r="M408" s="165">
        <f t="shared" si="7"/>
        <v>331730.1852</v>
      </c>
      <c r="N408" s="166">
        <f t="shared" si="8"/>
        <v>200.5082432</v>
      </c>
      <c r="O408" s="169">
        <f t="shared" si="9"/>
        <v>28859.60668</v>
      </c>
      <c r="P408" s="170">
        <f t="shared" ref="P408:Q408" si="313">P407+$L$7</f>
        <v>148891.6476</v>
      </c>
      <c r="Q408" s="171">
        <f t="shared" si="313"/>
        <v>148891.6476</v>
      </c>
      <c r="R408" s="172"/>
    </row>
    <row r="409" ht="14.25" customHeight="1" outlineLevel="1">
      <c r="A409" s="1"/>
      <c r="B409" s="163"/>
      <c r="C409" s="163"/>
      <c r="D409" s="164"/>
      <c r="E409" s="164">
        <v>306.0</v>
      </c>
      <c r="F409" s="165">
        <f t="shared" si="5"/>
        <v>358644.196</v>
      </c>
      <c r="G409" s="166">
        <f t="shared" si="2"/>
        <v>206.2204127</v>
      </c>
      <c r="H409" s="167">
        <f t="shared" si="3"/>
        <v>24749.07254</v>
      </c>
      <c r="I409" s="168">
        <f t="shared" si="6"/>
        <v>23816.12208</v>
      </c>
      <c r="J409" s="1"/>
      <c r="K409" s="164"/>
      <c r="L409" s="164">
        <v>306.0</v>
      </c>
      <c r="M409" s="165">
        <f t="shared" si="7"/>
        <v>333895.1235</v>
      </c>
      <c r="N409" s="166">
        <f t="shared" si="8"/>
        <v>201.7530827</v>
      </c>
      <c r="O409" s="169">
        <f t="shared" si="9"/>
        <v>29061.35977</v>
      </c>
      <c r="P409" s="170">
        <f t="shared" ref="P409:Q409" si="314">P408+$L$7</f>
        <v>149379.8169</v>
      </c>
      <c r="Q409" s="171">
        <f t="shared" si="314"/>
        <v>149379.8169</v>
      </c>
      <c r="R409" s="172"/>
    </row>
    <row r="410" ht="14.25" customHeight="1" outlineLevel="1">
      <c r="A410" s="1"/>
      <c r="B410" s="163"/>
      <c r="C410" s="163"/>
      <c r="D410" s="164"/>
      <c r="E410" s="164">
        <v>307.0</v>
      </c>
      <c r="F410" s="165">
        <f t="shared" si="5"/>
        <v>360955.5655</v>
      </c>
      <c r="G410" s="166">
        <f t="shared" si="2"/>
        <v>207.5494502</v>
      </c>
      <c r="H410" s="167">
        <f t="shared" si="3"/>
        <v>24884.51481</v>
      </c>
      <c r="I410" s="168">
        <f t="shared" si="6"/>
        <v>24023.67154</v>
      </c>
      <c r="J410" s="1"/>
      <c r="K410" s="164"/>
      <c r="L410" s="164">
        <v>307.0</v>
      </c>
      <c r="M410" s="165">
        <f t="shared" si="7"/>
        <v>336071.0507</v>
      </c>
      <c r="N410" s="166">
        <f t="shared" si="8"/>
        <v>203.0042409</v>
      </c>
      <c r="O410" s="169">
        <f t="shared" si="9"/>
        <v>29264.36401</v>
      </c>
      <c r="P410" s="170">
        <f t="shared" ref="P410:Q410" si="315">P409+$L$7</f>
        <v>149867.9863</v>
      </c>
      <c r="Q410" s="171">
        <f t="shared" si="315"/>
        <v>149867.9863</v>
      </c>
      <c r="R410" s="172"/>
    </row>
    <row r="411" ht="14.25" customHeight="1" outlineLevel="1">
      <c r="A411" s="1"/>
      <c r="B411" s="163"/>
      <c r="C411" s="163"/>
      <c r="D411" s="164"/>
      <c r="E411" s="164">
        <v>308.0</v>
      </c>
      <c r="F411" s="165">
        <f t="shared" si="5"/>
        <v>363278.6673</v>
      </c>
      <c r="G411" s="166">
        <f t="shared" si="2"/>
        <v>208.8852337</v>
      </c>
      <c r="H411" s="167">
        <f t="shared" si="3"/>
        <v>25020.64456</v>
      </c>
      <c r="I411" s="168">
        <f t="shared" si="6"/>
        <v>24232.55677</v>
      </c>
      <c r="J411" s="1"/>
      <c r="K411" s="164"/>
      <c r="L411" s="164">
        <v>308.0</v>
      </c>
      <c r="M411" s="165">
        <f t="shared" si="7"/>
        <v>338258.0228</v>
      </c>
      <c r="N411" s="166">
        <f t="shared" si="8"/>
        <v>204.2617498</v>
      </c>
      <c r="O411" s="169">
        <f t="shared" si="9"/>
        <v>29468.62576</v>
      </c>
      <c r="P411" s="170">
        <f t="shared" ref="P411:Q411" si="316">P410+$L$7</f>
        <v>150356.1556</v>
      </c>
      <c r="Q411" s="171">
        <f t="shared" si="316"/>
        <v>150356.1556</v>
      </c>
      <c r="R411" s="172"/>
    </row>
    <row r="412" ht="14.25" customHeight="1" outlineLevel="1">
      <c r="A412" s="1"/>
      <c r="B412" s="163"/>
      <c r="C412" s="163"/>
      <c r="D412" s="164"/>
      <c r="E412" s="164">
        <v>309.0</v>
      </c>
      <c r="F412" s="165">
        <f t="shared" si="5"/>
        <v>365613.561</v>
      </c>
      <c r="G412" s="166">
        <f t="shared" si="2"/>
        <v>210.2277975</v>
      </c>
      <c r="H412" s="167">
        <f t="shared" si="3"/>
        <v>25157.4653</v>
      </c>
      <c r="I412" s="168">
        <f t="shared" si="6"/>
        <v>24442.78457</v>
      </c>
      <c r="J412" s="1"/>
      <c r="K412" s="164"/>
      <c r="L412" s="164">
        <v>309.0</v>
      </c>
      <c r="M412" s="165">
        <f t="shared" si="7"/>
        <v>340456.0957</v>
      </c>
      <c r="N412" s="166">
        <f t="shared" si="8"/>
        <v>205.5256417</v>
      </c>
      <c r="O412" s="169">
        <f t="shared" si="9"/>
        <v>29674.1514</v>
      </c>
      <c r="P412" s="170">
        <f t="shared" ref="P412:Q412" si="317">P411+$L$7</f>
        <v>150844.3249</v>
      </c>
      <c r="Q412" s="171">
        <f t="shared" si="317"/>
        <v>150844.3249</v>
      </c>
      <c r="R412" s="172"/>
    </row>
    <row r="413" ht="14.25" customHeight="1" outlineLevel="1">
      <c r="A413" s="1"/>
      <c r="B413" s="163"/>
      <c r="C413" s="163"/>
      <c r="D413" s="164"/>
      <c r="E413" s="164">
        <v>310.0</v>
      </c>
      <c r="F413" s="165">
        <f t="shared" si="5"/>
        <v>367960.3062</v>
      </c>
      <c r="G413" s="166">
        <f t="shared" si="2"/>
        <v>211.5771761</v>
      </c>
      <c r="H413" s="167">
        <f t="shared" si="3"/>
        <v>25294.98052</v>
      </c>
      <c r="I413" s="168">
        <f t="shared" si="6"/>
        <v>24654.36174</v>
      </c>
      <c r="J413" s="1"/>
      <c r="K413" s="164"/>
      <c r="L413" s="164">
        <v>310.0</v>
      </c>
      <c r="M413" s="165">
        <f t="shared" si="7"/>
        <v>342665.3257</v>
      </c>
      <c r="N413" s="166">
        <f t="shared" si="8"/>
        <v>206.795949</v>
      </c>
      <c r="O413" s="169">
        <f t="shared" si="9"/>
        <v>29880.94735</v>
      </c>
      <c r="P413" s="170">
        <f t="shared" ref="P413:Q413" si="318">P412+$L$7</f>
        <v>151332.4943</v>
      </c>
      <c r="Q413" s="171">
        <f t="shared" si="318"/>
        <v>151332.4943</v>
      </c>
      <c r="R413" s="172"/>
    </row>
    <row r="414" ht="14.25" customHeight="1" outlineLevel="1">
      <c r="A414" s="1"/>
      <c r="B414" s="163"/>
      <c r="C414" s="163"/>
      <c r="D414" s="164"/>
      <c r="E414" s="164">
        <v>311.0</v>
      </c>
      <c r="F414" s="165">
        <f t="shared" si="5"/>
        <v>370318.9634</v>
      </c>
      <c r="G414" s="166">
        <f t="shared" si="2"/>
        <v>212.9334039</v>
      </c>
      <c r="H414" s="167">
        <f t="shared" si="3"/>
        <v>25433.19376</v>
      </c>
      <c r="I414" s="168">
        <f t="shared" si="6"/>
        <v>24867.29515</v>
      </c>
      <c r="J414" s="1"/>
      <c r="K414" s="164"/>
      <c r="L414" s="164">
        <v>311.0</v>
      </c>
      <c r="M414" s="165">
        <f t="shared" si="7"/>
        <v>344885.7696</v>
      </c>
      <c r="N414" s="166">
        <f t="shared" si="8"/>
        <v>208.0727042</v>
      </c>
      <c r="O414" s="169">
        <f t="shared" si="9"/>
        <v>30089.02005</v>
      </c>
      <c r="P414" s="170">
        <f t="shared" ref="P414:Q414" si="319">P413+$L$7</f>
        <v>151820.6636</v>
      </c>
      <c r="Q414" s="171">
        <f t="shared" si="319"/>
        <v>151820.6636</v>
      </c>
      <c r="R414" s="172"/>
    </row>
    <row r="415" ht="14.25" customHeight="1" outlineLevel="1">
      <c r="A415" s="1"/>
      <c r="B415" s="163"/>
      <c r="C415" s="163"/>
      <c r="D415" s="164">
        <v>26.0</v>
      </c>
      <c r="E415" s="164">
        <v>312.0</v>
      </c>
      <c r="F415" s="165">
        <f t="shared" si="5"/>
        <v>372689.5928</v>
      </c>
      <c r="G415" s="166">
        <f t="shared" si="2"/>
        <v>214.2965158</v>
      </c>
      <c r="H415" s="167">
        <f t="shared" si="3"/>
        <v>25572.10855</v>
      </c>
      <c r="I415" s="168">
        <f t="shared" si="6"/>
        <v>25081.59166</v>
      </c>
      <c r="J415" s="1"/>
      <c r="K415" s="164">
        <v>26.0</v>
      </c>
      <c r="L415" s="164">
        <v>312.0</v>
      </c>
      <c r="M415" s="165">
        <f t="shared" si="7"/>
        <v>347117.4842</v>
      </c>
      <c r="N415" s="166">
        <f t="shared" si="8"/>
        <v>209.3559402</v>
      </c>
      <c r="O415" s="169">
        <f t="shared" si="9"/>
        <v>30298.37599</v>
      </c>
      <c r="P415" s="170">
        <f t="shared" ref="P415:Q415" si="320">P414+$L$7</f>
        <v>152308.8329</v>
      </c>
      <c r="Q415" s="171">
        <f t="shared" si="320"/>
        <v>152308.8329</v>
      </c>
      <c r="R415" s="172"/>
    </row>
    <row r="416" ht="14.25" customHeight="1" outlineLevel="1">
      <c r="A416" s="1"/>
      <c r="B416" s="163"/>
      <c r="C416" s="163"/>
      <c r="D416" s="164"/>
      <c r="E416" s="164">
        <v>313.0</v>
      </c>
      <c r="F416" s="165">
        <f t="shared" si="5"/>
        <v>375072.2553</v>
      </c>
      <c r="G416" s="166">
        <f t="shared" si="2"/>
        <v>215.6665468</v>
      </c>
      <c r="H416" s="167">
        <f t="shared" si="3"/>
        <v>25711.72846</v>
      </c>
      <c r="I416" s="168">
        <f t="shared" si="6"/>
        <v>25297.25821</v>
      </c>
      <c r="J416" s="1"/>
      <c r="K416" s="164"/>
      <c r="L416" s="164">
        <v>313.0</v>
      </c>
      <c r="M416" s="165">
        <f t="shared" si="7"/>
        <v>349360.5268</v>
      </c>
      <c r="N416" s="166">
        <f t="shared" si="8"/>
        <v>210.6456896</v>
      </c>
      <c r="O416" s="169">
        <f t="shared" si="9"/>
        <v>30509.02168</v>
      </c>
      <c r="P416" s="170">
        <f t="shared" ref="P416:Q416" si="321">P415+$L$7</f>
        <v>152797.0023</v>
      </c>
      <c r="Q416" s="171">
        <f t="shared" si="321"/>
        <v>152797.0023</v>
      </c>
      <c r="R416" s="172"/>
    </row>
    <row r="417" ht="14.25" customHeight="1" outlineLevel="1">
      <c r="A417" s="1"/>
      <c r="B417" s="163"/>
      <c r="C417" s="163"/>
      <c r="D417" s="164"/>
      <c r="E417" s="164">
        <v>314.0</v>
      </c>
      <c r="F417" s="165">
        <f t="shared" si="5"/>
        <v>377467.0119</v>
      </c>
      <c r="G417" s="166">
        <f t="shared" si="2"/>
        <v>217.0435318</v>
      </c>
      <c r="H417" s="167">
        <f t="shared" si="3"/>
        <v>25852.05707</v>
      </c>
      <c r="I417" s="168">
        <f t="shared" si="6"/>
        <v>25514.30174</v>
      </c>
      <c r="J417" s="1"/>
      <c r="K417" s="164"/>
      <c r="L417" s="164">
        <v>314.0</v>
      </c>
      <c r="M417" s="165">
        <f t="shared" si="7"/>
        <v>351614.9548</v>
      </c>
      <c r="N417" s="166">
        <f t="shared" si="8"/>
        <v>211.9419857</v>
      </c>
      <c r="O417" s="169">
        <f t="shared" si="9"/>
        <v>30720.96367</v>
      </c>
      <c r="P417" s="170">
        <f t="shared" ref="P417:Q417" si="322">P416+$L$7</f>
        <v>153285.1716</v>
      </c>
      <c r="Q417" s="171">
        <f t="shared" si="322"/>
        <v>153285.1716</v>
      </c>
      <c r="R417" s="172"/>
    </row>
    <row r="418" ht="14.25" customHeight="1" outlineLevel="1">
      <c r="A418" s="1"/>
      <c r="B418" s="163"/>
      <c r="C418" s="163"/>
      <c r="D418" s="164"/>
      <c r="E418" s="164">
        <v>315.0</v>
      </c>
      <c r="F418" s="165">
        <f t="shared" si="5"/>
        <v>379873.924</v>
      </c>
      <c r="G418" s="166">
        <f t="shared" si="2"/>
        <v>218.4275063</v>
      </c>
      <c r="H418" s="167">
        <f t="shared" si="3"/>
        <v>25993.09796</v>
      </c>
      <c r="I418" s="168">
        <f t="shared" si="6"/>
        <v>25732.72925</v>
      </c>
      <c r="J418" s="1"/>
      <c r="K418" s="164"/>
      <c r="L418" s="164">
        <v>315.0</v>
      </c>
      <c r="M418" s="165">
        <f t="shared" si="7"/>
        <v>353880.8261</v>
      </c>
      <c r="N418" s="166">
        <f t="shared" si="8"/>
        <v>213.2448617</v>
      </c>
      <c r="O418" s="169">
        <f t="shared" si="9"/>
        <v>30934.20853</v>
      </c>
      <c r="P418" s="170">
        <f t="shared" ref="P418:Q418" si="323">P417+$L$7</f>
        <v>153773.341</v>
      </c>
      <c r="Q418" s="171">
        <f t="shared" si="323"/>
        <v>153773.341</v>
      </c>
      <c r="R418" s="172"/>
    </row>
    <row r="419" ht="14.25" customHeight="1" outlineLevel="1">
      <c r="A419" s="1"/>
      <c r="B419" s="163"/>
      <c r="C419" s="163"/>
      <c r="D419" s="164"/>
      <c r="E419" s="164">
        <v>316.0</v>
      </c>
      <c r="F419" s="165">
        <f t="shared" si="5"/>
        <v>382293.0534</v>
      </c>
      <c r="G419" s="166">
        <f t="shared" si="2"/>
        <v>219.8185057</v>
      </c>
      <c r="H419" s="167">
        <f t="shared" si="3"/>
        <v>26134.85477</v>
      </c>
      <c r="I419" s="168">
        <f t="shared" si="6"/>
        <v>25952.54775</v>
      </c>
      <c r="J419" s="1"/>
      <c r="K419" s="164"/>
      <c r="L419" s="164">
        <v>316.0</v>
      </c>
      <c r="M419" s="165">
        <f t="shared" si="7"/>
        <v>356158.1986</v>
      </c>
      <c r="N419" s="166">
        <f t="shared" si="8"/>
        <v>214.5543509</v>
      </c>
      <c r="O419" s="169">
        <f t="shared" si="9"/>
        <v>31148.76288</v>
      </c>
      <c r="P419" s="170">
        <f t="shared" ref="P419:Q419" si="324">P418+$L$7</f>
        <v>154261.5103</v>
      </c>
      <c r="Q419" s="171">
        <f t="shared" si="324"/>
        <v>154261.5103</v>
      </c>
      <c r="R419" s="172"/>
    </row>
    <row r="420" ht="14.25" customHeight="1" outlineLevel="1">
      <c r="A420" s="1"/>
      <c r="B420" s="163"/>
      <c r="C420" s="163"/>
      <c r="D420" s="164"/>
      <c r="E420" s="164">
        <v>317.0</v>
      </c>
      <c r="F420" s="165">
        <f t="shared" si="5"/>
        <v>384724.462</v>
      </c>
      <c r="G420" s="166">
        <f t="shared" si="2"/>
        <v>221.2165657</v>
      </c>
      <c r="H420" s="167">
        <f t="shared" si="3"/>
        <v>26277.33112</v>
      </c>
      <c r="I420" s="168">
        <f t="shared" si="6"/>
        <v>26173.76432</v>
      </c>
      <c r="J420" s="1"/>
      <c r="K420" s="164"/>
      <c r="L420" s="164">
        <v>317.0</v>
      </c>
      <c r="M420" s="165">
        <f t="shared" si="7"/>
        <v>358447.1309</v>
      </c>
      <c r="N420" s="166">
        <f t="shared" si="8"/>
        <v>215.870487</v>
      </c>
      <c r="O420" s="169">
        <f t="shared" si="9"/>
        <v>31364.63337</v>
      </c>
      <c r="P420" s="170">
        <f t="shared" ref="P420:Q420" si="325">P419+$L$7</f>
        <v>154749.6796</v>
      </c>
      <c r="Q420" s="171">
        <f t="shared" si="325"/>
        <v>154749.6796</v>
      </c>
      <c r="R420" s="172"/>
    </row>
    <row r="421" ht="14.25" customHeight="1" outlineLevel="1">
      <c r="A421" s="1"/>
      <c r="B421" s="163"/>
      <c r="C421" s="163"/>
      <c r="D421" s="164"/>
      <c r="E421" s="164">
        <v>318.0</v>
      </c>
      <c r="F421" s="165">
        <f t="shared" si="5"/>
        <v>387168.2123</v>
      </c>
      <c r="G421" s="166">
        <f t="shared" si="2"/>
        <v>222.621722</v>
      </c>
      <c r="H421" s="167">
        <f t="shared" si="3"/>
        <v>26420.53067</v>
      </c>
      <c r="I421" s="168">
        <f t="shared" si="6"/>
        <v>26396.38604</v>
      </c>
      <c r="J421" s="1"/>
      <c r="K421" s="164"/>
      <c r="L421" s="164">
        <v>318.0</v>
      </c>
      <c r="M421" s="165">
        <f t="shared" si="7"/>
        <v>360747.6816</v>
      </c>
      <c r="N421" s="166">
        <f t="shared" si="8"/>
        <v>217.1933036</v>
      </c>
      <c r="O421" s="169">
        <f t="shared" si="9"/>
        <v>31581.82667</v>
      </c>
      <c r="P421" s="170">
        <f t="shared" ref="P421:Q421" si="326">P420+$L$7</f>
        <v>155237.849</v>
      </c>
      <c r="Q421" s="171">
        <f t="shared" si="326"/>
        <v>155237.849</v>
      </c>
      <c r="R421" s="172"/>
    </row>
    <row r="422" ht="14.25" customHeight="1" outlineLevel="1">
      <c r="A422" s="1"/>
      <c r="B422" s="163"/>
      <c r="C422" s="163"/>
      <c r="D422" s="164"/>
      <c r="E422" s="164">
        <v>319.0</v>
      </c>
      <c r="F422" s="165">
        <f t="shared" si="5"/>
        <v>389624.3667</v>
      </c>
      <c r="G422" s="166">
        <f t="shared" si="2"/>
        <v>224.0340108</v>
      </c>
      <c r="H422" s="167">
        <f t="shared" si="3"/>
        <v>26564.45708</v>
      </c>
      <c r="I422" s="168">
        <f t="shared" si="6"/>
        <v>26620.42005</v>
      </c>
      <c r="J422" s="1"/>
      <c r="K422" s="164"/>
      <c r="L422" s="164">
        <v>319.0</v>
      </c>
      <c r="M422" s="165">
        <f t="shared" si="7"/>
        <v>363059.9096</v>
      </c>
      <c r="N422" s="166">
        <f t="shared" si="8"/>
        <v>218.5228347</v>
      </c>
      <c r="O422" s="169">
        <f t="shared" si="9"/>
        <v>31800.34951</v>
      </c>
      <c r="P422" s="170">
        <f t="shared" ref="P422:Q422" si="327">P421+$L$7</f>
        <v>155726.0183</v>
      </c>
      <c r="Q422" s="171">
        <f t="shared" si="327"/>
        <v>155726.0183</v>
      </c>
      <c r="R422" s="172"/>
    </row>
    <row r="423" ht="14.25" customHeight="1" outlineLevel="1">
      <c r="A423" s="1"/>
      <c r="B423" s="163"/>
      <c r="C423" s="163"/>
      <c r="D423" s="164"/>
      <c r="E423" s="164">
        <v>320.0</v>
      </c>
      <c r="F423" s="165">
        <f t="shared" si="5"/>
        <v>392092.9883</v>
      </c>
      <c r="G423" s="166">
        <f t="shared" si="2"/>
        <v>225.4534683</v>
      </c>
      <c r="H423" s="167">
        <f t="shared" si="3"/>
        <v>26709.11404</v>
      </c>
      <c r="I423" s="168">
        <f t="shared" si="6"/>
        <v>26845.87352</v>
      </c>
      <c r="J423" s="1"/>
      <c r="K423" s="164"/>
      <c r="L423" s="164">
        <v>320.0</v>
      </c>
      <c r="M423" s="165">
        <f t="shared" si="7"/>
        <v>365383.8742</v>
      </c>
      <c r="N423" s="166">
        <f t="shared" si="8"/>
        <v>219.8591144</v>
      </c>
      <c r="O423" s="169">
        <f t="shared" si="9"/>
        <v>32020.20862</v>
      </c>
      <c r="P423" s="170">
        <f t="shared" ref="P423:Q423" si="328">P422+$L$7</f>
        <v>156214.1876</v>
      </c>
      <c r="Q423" s="171">
        <f t="shared" si="328"/>
        <v>156214.1876</v>
      </c>
      <c r="R423" s="172"/>
    </row>
    <row r="424" ht="14.25" customHeight="1" outlineLevel="1">
      <c r="A424" s="1"/>
      <c r="B424" s="163"/>
      <c r="C424" s="163"/>
      <c r="D424" s="164"/>
      <c r="E424" s="164">
        <v>321.0</v>
      </c>
      <c r="F424" s="165">
        <f t="shared" si="5"/>
        <v>394574.1403</v>
      </c>
      <c r="G424" s="166">
        <f t="shared" si="2"/>
        <v>226.8801307</v>
      </c>
      <c r="H424" s="167">
        <f t="shared" si="3"/>
        <v>26854.50527</v>
      </c>
      <c r="I424" s="168">
        <f t="shared" si="6"/>
        <v>27072.75365</v>
      </c>
      <c r="J424" s="1"/>
      <c r="K424" s="164"/>
      <c r="L424" s="164">
        <v>321.0</v>
      </c>
      <c r="M424" s="165">
        <f t="shared" si="7"/>
        <v>367719.6351</v>
      </c>
      <c r="N424" s="166">
        <f t="shared" si="8"/>
        <v>221.2021769</v>
      </c>
      <c r="O424" s="169">
        <f t="shared" si="9"/>
        <v>32241.4108</v>
      </c>
      <c r="P424" s="170">
        <f t="shared" ref="P424:Q424" si="329">P423+$L$7</f>
        <v>156702.357</v>
      </c>
      <c r="Q424" s="171">
        <f t="shared" si="329"/>
        <v>156702.357</v>
      </c>
      <c r="R424" s="172"/>
    </row>
    <row r="425" ht="14.25" customHeight="1" outlineLevel="1">
      <c r="A425" s="1"/>
      <c r="B425" s="163"/>
      <c r="C425" s="163"/>
      <c r="D425" s="164"/>
      <c r="E425" s="164">
        <v>322.0</v>
      </c>
      <c r="F425" s="165">
        <f t="shared" si="5"/>
        <v>397067.8865</v>
      </c>
      <c r="G425" s="166">
        <f t="shared" si="2"/>
        <v>228.3140347</v>
      </c>
      <c r="H425" s="167">
        <f t="shared" si="3"/>
        <v>27000.63449</v>
      </c>
      <c r="I425" s="168">
        <f t="shared" si="6"/>
        <v>27301.06769</v>
      </c>
      <c r="J425" s="1"/>
      <c r="K425" s="164"/>
      <c r="L425" s="164">
        <v>322.0</v>
      </c>
      <c r="M425" s="165">
        <f t="shared" si="7"/>
        <v>370067.252</v>
      </c>
      <c r="N425" s="166">
        <f t="shared" si="8"/>
        <v>222.5520566</v>
      </c>
      <c r="O425" s="169">
        <f t="shared" si="9"/>
        <v>32463.96285</v>
      </c>
      <c r="P425" s="170">
        <f t="shared" ref="P425:Q425" si="330">P424+$L$7</f>
        <v>157190.5263</v>
      </c>
      <c r="Q425" s="171">
        <f t="shared" si="330"/>
        <v>157190.5263</v>
      </c>
      <c r="R425" s="172"/>
    </row>
    <row r="426" ht="14.25" customHeight="1" outlineLevel="1">
      <c r="A426" s="1"/>
      <c r="B426" s="163"/>
      <c r="C426" s="163"/>
      <c r="D426" s="164"/>
      <c r="E426" s="164">
        <v>323.0</v>
      </c>
      <c r="F426" s="165">
        <f t="shared" si="5"/>
        <v>399574.2906</v>
      </c>
      <c r="G426" s="166">
        <f t="shared" si="2"/>
        <v>229.7552171</v>
      </c>
      <c r="H426" s="167">
        <f t="shared" si="3"/>
        <v>27147.50544</v>
      </c>
      <c r="I426" s="168">
        <f t="shared" si="6"/>
        <v>27530.8229</v>
      </c>
      <c r="J426" s="1"/>
      <c r="K426" s="164"/>
      <c r="L426" s="164">
        <v>323.0</v>
      </c>
      <c r="M426" s="165">
        <f t="shared" si="7"/>
        <v>372426.7851</v>
      </c>
      <c r="N426" s="166">
        <f t="shared" si="8"/>
        <v>223.9087882</v>
      </c>
      <c r="O426" s="169">
        <f t="shared" si="9"/>
        <v>32687.87164</v>
      </c>
      <c r="P426" s="170">
        <f t="shared" ref="P426:Q426" si="331">P425+$L$7</f>
        <v>157678.6956</v>
      </c>
      <c r="Q426" s="171">
        <f t="shared" si="331"/>
        <v>157678.6956</v>
      </c>
      <c r="R426" s="172"/>
    </row>
    <row r="427" ht="14.25" customHeight="1" outlineLevel="1">
      <c r="A427" s="1"/>
      <c r="B427" s="163"/>
      <c r="C427" s="163"/>
      <c r="D427" s="164">
        <v>27.0</v>
      </c>
      <c r="E427" s="164">
        <v>324.0</v>
      </c>
      <c r="F427" s="165">
        <f t="shared" si="5"/>
        <v>402093.4169</v>
      </c>
      <c r="G427" s="166">
        <f t="shared" si="2"/>
        <v>231.2037147</v>
      </c>
      <c r="H427" s="167">
        <f t="shared" si="3"/>
        <v>27295.1219</v>
      </c>
      <c r="I427" s="168">
        <f t="shared" si="6"/>
        <v>27762.02662</v>
      </c>
      <c r="J427" s="1"/>
      <c r="K427" s="164">
        <v>27.0</v>
      </c>
      <c r="L427" s="164">
        <v>324.0</v>
      </c>
      <c r="M427" s="165">
        <f t="shared" si="7"/>
        <v>374798.295</v>
      </c>
      <c r="N427" s="166">
        <f t="shared" si="8"/>
        <v>225.2724064</v>
      </c>
      <c r="O427" s="169">
        <f t="shared" si="9"/>
        <v>32913.14405</v>
      </c>
      <c r="P427" s="170">
        <f t="shared" ref="P427:Q427" si="332">P426+$L$7</f>
        <v>158166.865</v>
      </c>
      <c r="Q427" s="171">
        <f t="shared" si="332"/>
        <v>158166.865</v>
      </c>
      <c r="R427" s="172"/>
    </row>
    <row r="428" ht="14.25" customHeight="1" outlineLevel="1">
      <c r="A428" s="1"/>
      <c r="B428" s="163"/>
      <c r="C428" s="163"/>
      <c r="D428" s="164"/>
      <c r="E428" s="164">
        <v>325.0</v>
      </c>
      <c r="F428" s="165">
        <f t="shared" si="5"/>
        <v>404625.3301</v>
      </c>
      <c r="G428" s="166">
        <f t="shared" si="2"/>
        <v>232.6595648</v>
      </c>
      <c r="H428" s="167">
        <f t="shared" si="3"/>
        <v>27443.48764</v>
      </c>
      <c r="I428" s="168">
        <f t="shared" si="6"/>
        <v>27994.68618</v>
      </c>
      <c r="J428" s="1"/>
      <c r="K428" s="164"/>
      <c r="L428" s="164">
        <v>325.0</v>
      </c>
      <c r="M428" s="165">
        <f t="shared" si="7"/>
        <v>377181.8425</v>
      </c>
      <c r="N428" s="166">
        <f t="shared" si="8"/>
        <v>226.6429462</v>
      </c>
      <c r="O428" s="169">
        <f t="shared" si="9"/>
        <v>33139.787</v>
      </c>
      <c r="P428" s="170">
        <f t="shared" ref="P428:Q428" si="333">P427+$L$7</f>
        <v>158655.0343</v>
      </c>
      <c r="Q428" s="171">
        <f t="shared" si="333"/>
        <v>158655.0343</v>
      </c>
      <c r="R428" s="172"/>
    </row>
    <row r="429" ht="14.25" customHeight="1" outlineLevel="1">
      <c r="A429" s="1"/>
      <c r="B429" s="163"/>
      <c r="C429" s="163"/>
      <c r="D429" s="164"/>
      <c r="E429" s="164">
        <v>326.0</v>
      </c>
      <c r="F429" s="165">
        <f t="shared" si="5"/>
        <v>407170.095</v>
      </c>
      <c r="G429" s="166">
        <f t="shared" si="2"/>
        <v>234.1228046</v>
      </c>
      <c r="H429" s="167">
        <f t="shared" si="3"/>
        <v>27592.60648</v>
      </c>
      <c r="I429" s="168">
        <f t="shared" si="6"/>
        <v>28228.80899</v>
      </c>
      <c r="J429" s="1"/>
      <c r="K429" s="164"/>
      <c r="L429" s="164">
        <v>326.0</v>
      </c>
      <c r="M429" s="165">
        <f t="shared" si="7"/>
        <v>379577.4886</v>
      </c>
      <c r="N429" s="166">
        <f t="shared" si="8"/>
        <v>228.0204426</v>
      </c>
      <c r="O429" s="169">
        <f t="shared" si="9"/>
        <v>33367.80744</v>
      </c>
      <c r="P429" s="170">
        <f t="shared" ref="P429:Q429" si="334">P428+$L$7</f>
        <v>159143.2037</v>
      </c>
      <c r="Q429" s="171">
        <f t="shared" si="334"/>
        <v>159143.2037</v>
      </c>
      <c r="R429" s="172"/>
    </row>
    <row r="430" ht="14.25" customHeight="1" outlineLevel="1">
      <c r="A430" s="1"/>
      <c r="B430" s="163"/>
      <c r="C430" s="163"/>
      <c r="D430" s="164"/>
      <c r="E430" s="164">
        <v>327.0</v>
      </c>
      <c r="F430" s="165">
        <f t="shared" si="5"/>
        <v>409727.7769</v>
      </c>
      <c r="G430" s="166">
        <f t="shared" si="2"/>
        <v>235.5934717</v>
      </c>
      <c r="H430" s="167">
        <f t="shared" si="3"/>
        <v>27742.48222</v>
      </c>
      <c r="I430" s="168">
        <f t="shared" si="6"/>
        <v>28464.40246</v>
      </c>
      <c r="J430" s="1"/>
      <c r="K430" s="164"/>
      <c r="L430" s="164">
        <v>327.0</v>
      </c>
      <c r="M430" s="165">
        <f t="shared" si="7"/>
        <v>381985.2947</v>
      </c>
      <c r="N430" s="166">
        <f t="shared" si="8"/>
        <v>229.4049312</v>
      </c>
      <c r="O430" s="169">
        <f t="shared" si="9"/>
        <v>33597.21237</v>
      </c>
      <c r="P430" s="170">
        <f t="shared" ref="P430:Q430" si="335">P429+$L$7</f>
        <v>159631.373</v>
      </c>
      <c r="Q430" s="171">
        <f t="shared" si="335"/>
        <v>159631.373</v>
      </c>
      <c r="R430" s="172"/>
    </row>
    <row r="431" ht="14.25" customHeight="1" outlineLevel="1">
      <c r="A431" s="1"/>
      <c r="B431" s="163"/>
      <c r="C431" s="163"/>
      <c r="D431" s="164"/>
      <c r="E431" s="164">
        <v>328.0</v>
      </c>
      <c r="F431" s="165">
        <f t="shared" si="5"/>
        <v>412298.4413</v>
      </c>
      <c r="G431" s="166">
        <f t="shared" si="2"/>
        <v>237.0716037</v>
      </c>
      <c r="H431" s="167">
        <f t="shared" si="3"/>
        <v>27893.11872</v>
      </c>
      <c r="I431" s="168">
        <f t="shared" si="6"/>
        <v>28701.47406</v>
      </c>
      <c r="J431" s="1"/>
      <c r="K431" s="164"/>
      <c r="L431" s="164">
        <v>328.0</v>
      </c>
      <c r="M431" s="165">
        <f t="shared" si="7"/>
        <v>384405.3226</v>
      </c>
      <c r="N431" s="166">
        <f t="shared" si="8"/>
        <v>230.7964472</v>
      </c>
      <c r="O431" s="169">
        <f t="shared" si="9"/>
        <v>33828.00882</v>
      </c>
      <c r="P431" s="170">
        <f t="shared" ref="P431:Q431" si="336">P430+$L$7</f>
        <v>160119.5423</v>
      </c>
      <c r="Q431" s="171">
        <f t="shared" si="336"/>
        <v>160119.5423</v>
      </c>
      <c r="R431" s="172"/>
    </row>
    <row r="432" ht="14.25" customHeight="1" outlineLevel="1">
      <c r="A432" s="1"/>
      <c r="B432" s="163"/>
      <c r="C432" s="163"/>
      <c r="D432" s="164"/>
      <c r="E432" s="164">
        <v>329.0</v>
      </c>
      <c r="F432" s="165">
        <f t="shared" si="5"/>
        <v>414882.1541</v>
      </c>
      <c r="G432" s="166">
        <f t="shared" si="2"/>
        <v>238.5572386</v>
      </c>
      <c r="H432" s="167">
        <f t="shared" si="3"/>
        <v>28044.51983</v>
      </c>
      <c r="I432" s="168">
        <f t="shared" si="6"/>
        <v>28940.0313</v>
      </c>
      <c r="J432" s="1"/>
      <c r="K432" s="164"/>
      <c r="L432" s="164">
        <v>329.0</v>
      </c>
      <c r="M432" s="165">
        <f t="shared" si="7"/>
        <v>386837.6343</v>
      </c>
      <c r="N432" s="166">
        <f t="shared" si="8"/>
        <v>232.1950264</v>
      </c>
      <c r="O432" s="169">
        <f t="shared" si="9"/>
        <v>34060.20384</v>
      </c>
      <c r="P432" s="170">
        <f t="shared" ref="P432:Q432" si="337">P431+$L$7</f>
        <v>160607.7117</v>
      </c>
      <c r="Q432" s="171">
        <f t="shared" si="337"/>
        <v>160607.7117</v>
      </c>
      <c r="R432" s="172"/>
    </row>
    <row r="433" ht="14.25" customHeight="1" outlineLevel="1">
      <c r="A433" s="1"/>
      <c r="B433" s="163"/>
      <c r="C433" s="163"/>
      <c r="D433" s="164"/>
      <c r="E433" s="164">
        <v>330.0</v>
      </c>
      <c r="F433" s="165">
        <f t="shared" si="5"/>
        <v>417478.9815</v>
      </c>
      <c r="G433" s="166">
        <f t="shared" si="2"/>
        <v>240.0504144</v>
      </c>
      <c r="H433" s="167">
        <f t="shared" si="3"/>
        <v>28196.68943</v>
      </c>
      <c r="I433" s="168">
        <f t="shared" si="6"/>
        <v>29180.08171</v>
      </c>
      <c r="J433" s="1"/>
      <c r="K433" s="164"/>
      <c r="L433" s="164">
        <v>330.0</v>
      </c>
      <c r="M433" s="165">
        <f t="shared" si="7"/>
        <v>389282.2921</v>
      </c>
      <c r="N433" s="166">
        <f t="shared" si="8"/>
        <v>233.6007047</v>
      </c>
      <c r="O433" s="169">
        <f t="shared" si="9"/>
        <v>34293.80455</v>
      </c>
      <c r="P433" s="170">
        <f t="shared" ref="P433:Q433" si="338">P432+$L$7</f>
        <v>161095.881</v>
      </c>
      <c r="Q433" s="171">
        <f t="shared" si="338"/>
        <v>161095.881</v>
      </c>
      <c r="R433" s="172"/>
    </row>
    <row r="434" ht="14.25" customHeight="1" outlineLevel="1">
      <c r="A434" s="1"/>
      <c r="B434" s="163"/>
      <c r="C434" s="163"/>
      <c r="D434" s="164"/>
      <c r="E434" s="164">
        <v>331.0</v>
      </c>
      <c r="F434" s="165">
        <f t="shared" si="5"/>
        <v>420088.9902</v>
      </c>
      <c r="G434" s="166">
        <f t="shared" si="2"/>
        <v>241.5511694</v>
      </c>
      <c r="H434" s="167">
        <f t="shared" si="3"/>
        <v>28349.63144</v>
      </c>
      <c r="I434" s="168">
        <f t="shared" si="6"/>
        <v>29421.63288</v>
      </c>
      <c r="J434" s="1"/>
      <c r="K434" s="164"/>
      <c r="L434" s="164">
        <v>331.0</v>
      </c>
      <c r="M434" s="165">
        <f t="shared" si="7"/>
        <v>391739.3588</v>
      </c>
      <c r="N434" s="166">
        <f t="shared" si="8"/>
        <v>235.013518</v>
      </c>
      <c r="O434" s="169">
        <f t="shared" si="9"/>
        <v>34528.81807</v>
      </c>
      <c r="P434" s="170">
        <f t="shared" ref="P434:Q434" si="339">P433+$L$7</f>
        <v>161584.0503</v>
      </c>
      <c r="Q434" s="171">
        <f t="shared" si="339"/>
        <v>161584.0503</v>
      </c>
      <c r="R434" s="172"/>
    </row>
    <row r="435" ht="14.25" customHeight="1" outlineLevel="1">
      <c r="A435" s="1"/>
      <c r="B435" s="163"/>
      <c r="C435" s="163"/>
      <c r="D435" s="164"/>
      <c r="E435" s="164">
        <v>332.0</v>
      </c>
      <c r="F435" s="165">
        <f t="shared" si="5"/>
        <v>422712.247</v>
      </c>
      <c r="G435" s="166">
        <f t="shared" si="2"/>
        <v>243.059542</v>
      </c>
      <c r="H435" s="167">
        <f t="shared" si="3"/>
        <v>28503.34976</v>
      </c>
      <c r="I435" s="168">
        <f t="shared" si="6"/>
        <v>29664.69243</v>
      </c>
      <c r="J435" s="1"/>
      <c r="K435" s="164"/>
      <c r="L435" s="164">
        <v>332.0</v>
      </c>
      <c r="M435" s="165">
        <f t="shared" si="7"/>
        <v>394208.8973</v>
      </c>
      <c r="N435" s="166">
        <f t="shared" si="8"/>
        <v>236.4335027</v>
      </c>
      <c r="O435" s="169">
        <f t="shared" si="9"/>
        <v>34765.25157</v>
      </c>
      <c r="P435" s="170">
        <f t="shared" ref="P435:Q435" si="340">P434+$L$7</f>
        <v>162072.2197</v>
      </c>
      <c r="Q435" s="171">
        <f t="shared" si="340"/>
        <v>162072.2197</v>
      </c>
      <c r="R435" s="172"/>
    </row>
    <row r="436" ht="14.25" customHeight="1" outlineLevel="1">
      <c r="A436" s="1"/>
      <c r="B436" s="163"/>
      <c r="C436" s="163"/>
      <c r="D436" s="164"/>
      <c r="E436" s="164">
        <v>333.0</v>
      </c>
      <c r="F436" s="165">
        <f t="shared" si="5"/>
        <v>425348.8192</v>
      </c>
      <c r="G436" s="166">
        <f t="shared" si="2"/>
        <v>244.575571</v>
      </c>
      <c r="H436" s="167">
        <f t="shared" si="3"/>
        <v>28657.84834</v>
      </c>
      <c r="I436" s="168">
        <f t="shared" si="6"/>
        <v>29909.268</v>
      </c>
      <c r="J436" s="1"/>
      <c r="K436" s="164"/>
      <c r="L436" s="164">
        <v>333.0</v>
      </c>
      <c r="M436" s="165">
        <f t="shared" si="7"/>
        <v>396690.9709</v>
      </c>
      <c r="N436" s="166">
        <f t="shared" si="8"/>
        <v>237.860695</v>
      </c>
      <c r="O436" s="169">
        <f t="shared" si="9"/>
        <v>35003.11226</v>
      </c>
      <c r="P436" s="170">
        <f t="shared" ref="P436:Q436" si="341">P435+$L$7</f>
        <v>162560.389</v>
      </c>
      <c r="Q436" s="171">
        <f t="shared" si="341"/>
        <v>162560.389</v>
      </c>
      <c r="R436" s="172"/>
    </row>
    <row r="437" ht="14.25" customHeight="1" outlineLevel="1">
      <c r="A437" s="1"/>
      <c r="B437" s="163"/>
      <c r="C437" s="163"/>
      <c r="D437" s="164"/>
      <c r="E437" s="164">
        <v>334.0</v>
      </c>
      <c r="F437" s="165">
        <f t="shared" si="5"/>
        <v>427998.7744</v>
      </c>
      <c r="G437" s="166">
        <f t="shared" si="2"/>
        <v>246.0992953</v>
      </c>
      <c r="H437" s="167">
        <f t="shared" si="3"/>
        <v>28813.13114</v>
      </c>
      <c r="I437" s="168">
        <f t="shared" si="6"/>
        <v>30155.36729</v>
      </c>
      <c r="J437" s="1"/>
      <c r="K437" s="164"/>
      <c r="L437" s="164">
        <v>334.0</v>
      </c>
      <c r="M437" s="165">
        <f t="shared" si="7"/>
        <v>399185.6432</v>
      </c>
      <c r="N437" s="166">
        <f t="shared" si="8"/>
        <v>239.2951316</v>
      </c>
      <c r="O437" s="169">
        <f t="shared" si="9"/>
        <v>35242.40739</v>
      </c>
      <c r="P437" s="170">
        <f t="shared" ref="P437:Q437" si="342">P436+$L$7</f>
        <v>163048.5583</v>
      </c>
      <c r="Q437" s="171">
        <f t="shared" si="342"/>
        <v>163048.5583</v>
      </c>
      <c r="R437" s="172"/>
    </row>
    <row r="438" ht="14.25" customHeight="1" outlineLevel="1">
      <c r="A438" s="1"/>
      <c r="B438" s="163"/>
      <c r="C438" s="163"/>
      <c r="D438" s="164"/>
      <c r="E438" s="164">
        <v>335.0</v>
      </c>
      <c r="F438" s="165">
        <f t="shared" si="5"/>
        <v>430662.1804</v>
      </c>
      <c r="G438" s="166">
        <f t="shared" si="2"/>
        <v>247.6307537</v>
      </c>
      <c r="H438" s="167">
        <f t="shared" si="3"/>
        <v>28969.20214</v>
      </c>
      <c r="I438" s="168">
        <f t="shared" si="6"/>
        <v>30402.99805</v>
      </c>
      <c r="J438" s="1"/>
      <c r="K438" s="164"/>
      <c r="L438" s="164">
        <v>335.0</v>
      </c>
      <c r="M438" s="165">
        <f t="shared" si="7"/>
        <v>401692.9783</v>
      </c>
      <c r="N438" s="166">
        <f t="shared" si="8"/>
        <v>240.7368492</v>
      </c>
      <c r="O438" s="169">
        <f t="shared" si="9"/>
        <v>35483.14424</v>
      </c>
      <c r="P438" s="170">
        <f t="shared" ref="P438:Q438" si="343">P437+$L$7</f>
        <v>163536.7277</v>
      </c>
      <c r="Q438" s="171">
        <f t="shared" si="343"/>
        <v>163536.7277</v>
      </c>
      <c r="R438" s="172"/>
    </row>
    <row r="439" ht="14.25" customHeight="1" outlineLevel="1">
      <c r="A439" s="1"/>
      <c r="B439" s="163"/>
      <c r="C439" s="163"/>
      <c r="D439" s="164">
        <v>28.0</v>
      </c>
      <c r="E439" s="164">
        <v>336.0</v>
      </c>
      <c r="F439" s="165">
        <f t="shared" si="5"/>
        <v>433339.1056</v>
      </c>
      <c r="G439" s="166">
        <f t="shared" si="2"/>
        <v>249.1699857</v>
      </c>
      <c r="H439" s="167">
        <f t="shared" si="3"/>
        <v>29126.06533</v>
      </c>
      <c r="I439" s="168">
        <f t="shared" si="6"/>
        <v>30652.16803</v>
      </c>
      <c r="J439" s="1"/>
      <c r="K439" s="164">
        <v>28.0</v>
      </c>
      <c r="L439" s="164">
        <v>336.0</v>
      </c>
      <c r="M439" s="165">
        <f t="shared" si="7"/>
        <v>404213.0403</v>
      </c>
      <c r="N439" s="166">
        <f t="shared" si="8"/>
        <v>242.1858849</v>
      </c>
      <c r="O439" s="169">
        <f t="shared" si="9"/>
        <v>35725.33013</v>
      </c>
      <c r="P439" s="170">
        <f t="shared" ref="P439:Q439" si="344">P438+$L$7</f>
        <v>164024.897</v>
      </c>
      <c r="Q439" s="171">
        <f t="shared" si="344"/>
        <v>164024.897</v>
      </c>
      <c r="R439" s="172"/>
    </row>
    <row r="440" ht="14.25" customHeight="1" outlineLevel="1">
      <c r="A440" s="1"/>
      <c r="B440" s="163"/>
      <c r="C440" s="163"/>
      <c r="D440" s="164"/>
      <c r="E440" s="164">
        <v>337.0</v>
      </c>
      <c r="F440" s="165">
        <f t="shared" si="5"/>
        <v>436029.6186</v>
      </c>
      <c r="G440" s="166">
        <f t="shared" si="2"/>
        <v>250.7170307</v>
      </c>
      <c r="H440" s="167">
        <f t="shared" si="3"/>
        <v>29283.72475</v>
      </c>
      <c r="I440" s="168">
        <f t="shared" si="6"/>
        <v>30902.88506</v>
      </c>
      <c r="J440" s="1"/>
      <c r="K440" s="164"/>
      <c r="L440" s="164">
        <v>337.0</v>
      </c>
      <c r="M440" s="165">
        <f t="shared" si="7"/>
        <v>406745.8938</v>
      </c>
      <c r="N440" s="166">
        <f t="shared" si="8"/>
        <v>243.6422757</v>
      </c>
      <c r="O440" s="169">
        <f t="shared" si="9"/>
        <v>35968.9724</v>
      </c>
      <c r="P440" s="170">
        <f t="shared" ref="P440:Q440" si="345">P439+$L$7</f>
        <v>164513.0664</v>
      </c>
      <c r="Q440" s="171">
        <f t="shared" si="345"/>
        <v>164513.0664</v>
      </c>
      <c r="R440" s="172"/>
    </row>
    <row r="441" ht="14.25" customHeight="1" outlineLevel="1">
      <c r="A441" s="1"/>
      <c r="B441" s="163"/>
      <c r="C441" s="163"/>
      <c r="D441" s="164"/>
      <c r="E441" s="164">
        <v>338.0</v>
      </c>
      <c r="F441" s="165">
        <f t="shared" si="5"/>
        <v>438733.7883</v>
      </c>
      <c r="G441" s="166">
        <f t="shared" si="2"/>
        <v>252.2719283</v>
      </c>
      <c r="H441" s="167">
        <f t="shared" si="3"/>
        <v>29442.18443</v>
      </c>
      <c r="I441" s="168">
        <f t="shared" si="6"/>
        <v>31155.15699</v>
      </c>
      <c r="J441" s="1"/>
      <c r="K441" s="164"/>
      <c r="L441" s="164">
        <v>338.0</v>
      </c>
      <c r="M441" s="165">
        <f t="shared" si="7"/>
        <v>409291.6039</v>
      </c>
      <c r="N441" s="166">
        <f t="shared" si="8"/>
        <v>245.106059</v>
      </c>
      <c r="O441" s="169">
        <f t="shared" si="9"/>
        <v>36214.07846</v>
      </c>
      <c r="P441" s="170">
        <f t="shared" ref="P441:Q441" si="346">P440+$L$7</f>
        <v>165001.2357</v>
      </c>
      <c r="Q441" s="171">
        <f t="shared" si="346"/>
        <v>165001.2357</v>
      </c>
      <c r="R441" s="172"/>
    </row>
    <row r="442" ht="14.25" customHeight="1" outlineLevel="1">
      <c r="A442" s="1"/>
      <c r="B442" s="163"/>
      <c r="C442" s="163"/>
      <c r="D442" s="164"/>
      <c r="E442" s="164">
        <v>339.0</v>
      </c>
      <c r="F442" s="165">
        <f t="shared" si="5"/>
        <v>441451.6842</v>
      </c>
      <c r="G442" s="166">
        <f t="shared" si="2"/>
        <v>253.8347184</v>
      </c>
      <c r="H442" s="167">
        <f t="shared" si="3"/>
        <v>29601.44844</v>
      </c>
      <c r="I442" s="168">
        <f t="shared" si="6"/>
        <v>31408.99171</v>
      </c>
      <c r="J442" s="1"/>
      <c r="K442" s="164"/>
      <c r="L442" s="164">
        <v>339.0</v>
      </c>
      <c r="M442" s="165">
        <f t="shared" si="7"/>
        <v>411850.2357</v>
      </c>
      <c r="N442" s="166">
        <f t="shared" si="8"/>
        <v>246.5772723</v>
      </c>
      <c r="O442" s="169">
        <f t="shared" si="9"/>
        <v>36460.65574</v>
      </c>
      <c r="P442" s="170">
        <f t="shared" ref="P442:Q442" si="347">P441+$L$7</f>
        <v>165489.405</v>
      </c>
      <c r="Q442" s="171">
        <f t="shared" si="347"/>
        <v>165489.405</v>
      </c>
      <c r="R442" s="172"/>
    </row>
    <row r="443" ht="14.25" customHeight="1" outlineLevel="1">
      <c r="A443" s="1"/>
      <c r="B443" s="163"/>
      <c r="C443" s="163"/>
      <c r="D443" s="164"/>
      <c r="E443" s="164">
        <v>340.0</v>
      </c>
      <c r="F443" s="165">
        <f t="shared" si="5"/>
        <v>444183.3758</v>
      </c>
      <c r="G443" s="166">
        <f t="shared" si="2"/>
        <v>255.4054411</v>
      </c>
      <c r="H443" s="167">
        <f t="shared" si="3"/>
        <v>29761.52085</v>
      </c>
      <c r="I443" s="168">
        <f t="shared" si="6"/>
        <v>31664.39715</v>
      </c>
      <c r="J443" s="1"/>
      <c r="K443" s="164"/>
      <c r="L443" s="164">
        <v>340.0</v>
      </c>
      <c r="M443" s="165">
        <f t="shared" si="7"/>
        <v>414421.8549</v>
      </c>
      <c r="N443" s="166">
        <f t="shared" si="8"/>
        <v>248.0559533</v>
      </c>
      <c r="O443" s="169">
        <f t="shared" si="9"/>
        <v>36708.71169</v>
      </c>
      <c r="P443" s="170">
        <f t="shared" ref="P443:Q443" si="348">P442+$L$7</f>
        <v>165977.5744</v>
      </c>
      <c r="Q443" s="171">
        <f t="shared" si="348"/>
        <v>165977.5744</v>
      </c>
      <c r="R443" s="172"/>
    </row>
    <row r="444" ht="14.25" customHeight="1" outlineLevel="1">
      <c r="A444" s="1"/>
      <c r="B444" s="163"/>
      <c r="C444" s="163"/>
      <c r="D444" s="164"/>
      <c r="E444" s="164">
        <v>341.0</v>
      </c>
      <c r="F444" s="165">
        <f t="shared" si="5"/>
        <v>446928.9331</v>
      </c>
      <c r="G444" s="166">
        <f t="shared" si="2"/>
        <v>256.9841365</v>
      </c>
      <c r="H444" s="167">
        <f t="shared" si="3"/>
        <v>29922.40577</v>
      </c>
      <c r="I444" s="168">
        <f t="shared" si="6"/>
        <v>31921.38129</v>
      </c>
      <c r="J444" s="1"/>
      <c r="K444" s="164"/>
      <c r="L444" s="164">
        <v>341.0</v>
      </c>
      <c r="M444" s="165">
        <f t="shared" si="7"/>
        <v>417006.5273</v>
      </c>
      <c r="N444" s="166">
        <f t="shared" si="8"/>
        <v>249.54214</v>
      </c>
      <c r="O444" s="169">
        <f t="shared" si="9"/>
        <v>36958.25383</v>
      </c>
      <c r="P444" s="170">
        <f t="shared" ref="P444:Q444" si="349">P443+$L$7</f>
        <v>166465.7437</v>
      </c>
      <c r="Q444" s="171">
        <f t="shared" si="349"/>
        <v>166465.7437</v>
      </c>
      <c r="R444" s="172"/>
    </row>
    <row r="445" ht="14.25" customHeight="1" outlineLevel="1">
      <c r="A445" s="1"/>
      <c r="B445" s="163"/>
      <c r="C445" s="163"/>
      <c r="D445" s="164"/>
      <c r="E445" s="164">
        <v>342.0</v>
      </c>
      <c r="F445" s="165">
        <f t="shared" si="5"/>
        <v>449688.4266</v>
      </c>
      <c r="G445" s="166">
        <f t="shared" si="2"/>
        <v>258.5708453</v>
      </c>
      <c r="H445" s="167">
        <f t="shared" si="3"/>
        <v>30084.10733</v>
      </c>
      <c r="I445" s="168">
        <f t="shared" si="6"/>
        <v>32179.95213</v>
      </c>
      <c r="J445" s="1"/>
      <c r="K445" s="164"/>
      <c r="L445" s="164">
        <v>342.0</v>
      </c>
      <c r="M445" s="165">
        <f t="shared" si="7"/>
        <v>419604.3193</v>
      </c>
      <c r="N445" s="166">
        <f t="shared" si="8"/>
        <v>251.0358703</v>
      </c>
      <c r="O445" s="169">
        <f t="shared" si="9"/>
        <v>37209.2897</v>
      </c>
      <c r="P445" s="170">
        <f t="shared" ref="P445:Q445" si="350">P444+$L$7</f>
        <v>166953.913</v>
      </c>
      <c r="Q445" s="171">
        <f t="shared" si="350"/>
        <v>166953.913</v>
      </c>
      <c r="R445" s="172"/>
    </row>
    <row r="446" ht="14.25" customHeight="1" outlineLevel="1">
      <c r="A446" s="1"/>
      <c r="B446" s="163"/>
      <c r="C446" s="163"/>
      <c r="D446" s="164"/>
      <c r="E446" s="164">
        <v>343.0</v>
      </c>
      <c r="F446" s="165">
        <f t="shared" si="5"/>
        <v>452461.9271</v>
      </c>
      <c r="G446" s="166">
        <f t="shared" si="2"/>
        <v>260.1656081</v>
      </c>
      <c r="H446" s="167">
        <f t="shared" si="3"/>
        <v>30246.62967</v>
      </c>
      <c r="I446" s="168">
        <f t="shared" si="6"/>
        <v>32440.11774</v>
      </c>
      <c r="J446" s="1"/>
      <c r="K446" s="164"/>
      <c r="L446" s="164">
        <v>343.0</v>
      </c>
      <c r="M446" s="165">
        <f t="shared" si="7"/>
        <v>422215.2974</v>
      </c>
      <c r="N446" s="166">
        <f t="shared" si="8"/>
        <v>252.5371827</v>
      </c>
      <c r="O446" s="169">
        <f t="shared" si="9"/>
        <v>37461.82688</v>
      </c>
      <c r="P446" s="170">
        <f t="shared" ref="P446:Q446" si="351">P445+$L$7</f>
        <v>167442.0824</v>
      </c>
      <c r="Q446" s="171">
        <f t="shared" si="351"/>
        <v>167442.0824</v>
      </c>
      <c r="R446" s="172"/>
    </row>
    <row r="447" ht="14.25" customHeight="1" outlineLevel="1">
      <c r="A447" s="1"/>
      <c r="B447" s="163"/>
      <c r="C447" s="163"/>
      <c r="D447" s="164"/>
      <c r="E447" s="164">
        <v>344.0</v>
      </c>
      <c r="F447" s="165">
        <f t="shared" si="5"/>
        <v>455249.5055</v>
      </c>
      <c r="G447" s="166">
        <f t="shared" si="2"/>
        <v>261.7684656</v>
      </c>
      <c r="H447" s="167">
        <f t="shared" si="3"/>
        <v>30409.97695</v>
      </c>
      <c r="I447" s="168">
        <f t="shared" si="6"/>
        <v>32701.88621</v>
      </c>
      <c r="J447" s="1"/>
      <c r="K447" s="164"/>
      <c r="L447" s="164">
        <v>344.0</v>
      </c>
      <c r="M447" s="165">
        <f t="shared" si="7"/>
        <v>424839.5285</v>
      </c>
      <c r="N447" s="166">
        <f t="shared" si="8"/>
        <v>254.0461156</v>
      </c>
      <c r="O447" s="169">
        <f t="shared" si="9"/>
        <v>37715.873</v>
      </c>
      <c r="P447" s="170">
        <f t="shared" ref="P447:Q447" si="352">P446+$L$7</f>
        <v>167930.2517</v>
      </c>
      <c r="Q447" s="171">
        <f t="shared" si="352"/>
        <v>167930.2517</v>
      </c>
      <c r="R447" s="172"/>
    </row>
    <row r="448" ht="14.25" customHeight="1" outlineLevel="1">
      <c r="A448" s="1"/>
      <c r="B448" s="163"/>
      <c r="C448" s="163"/>
      <c r="D448" s="164"/>
      <c r="E448" s="164">
        <v>345.0</v>
      </c>
      <c r="F448" s="165">
        <f t="shared" si="5"/>
        <v>458051.2333</v>
      </c>
      <c r="G448" s="166">
        <f t="shared" si="2"/>
        <v>263.3794592</v>
      </c>
      <c r="H448" s="167">
        <f t="shared" si="3"/>
        <v>30574.15337</v>
      </c>
      <c r="I448" s="168">
        <f t="shared" si="6"/>
        <v>32965.26567</v>
      </c>
      <c r="J448" s="1"/>
      <c r="K448" s="164"/>
      <c r="L448" s="164">
        <v>345.0</v>
      </c>
      <c r="M448" s="165">
        <f t="shared" si="7"/>
        <v>427477.08</v>
      </c>
      <c r="N448" s="166">
        <f t="shared" si="8"/>
        <v>255.5627077</v>
      </c>
      <c r="O448" s="169">
        <f t="shared" si="9"/>
        <v>37971.43571</v>
      </c>
      <c r="P448" s="170">
        <f t="shared" ref="P448:Q448" si="353">P447+$L$7</f>
        <v>168418.421</v>
      </c>
      <c r="Q448" s="171">
        <f t="shared" si="353"/>
        <v>168418.421</v>
      </c>
      <c r="R448" s="172"/>
    </row>
    <row r="449" ht="14.25" customHeight="1" outlineLevel="1">
      <c r="A449" s="1"/>
      <c r="B449" s="163"/>
      <c r="C449" s="163"/>
      <c r="D449" s="164"/>
      <c r="E449" s="164">
        <v>346.0</v>
      </c>
      <c r="F449" s="165">
        <f t="shared" si="5"/>
        <v>460867.1825</v>
      </c>
      <c r="G449" s="166">
        <f t="shared" si="2"/>
        <v>264.9986299</v>
      </c>
      <c r="H449" s="167">
        <f t="shared" si="3"/>
        <v>30739.16313</v>
      </c>
      <c r="I449" s="168">
        <f t="shared" si="6"/>
        <v>33230.2643</v>
      </c>
      <c r="J449" s="1"/>
      <c r="K449" s="164"/>
      <c r="L449" s="164">
        <v>346.0</v>
      </c>
      <c r="M449" s="165">
        <f t="shared" si="7"/>
        <v>430128.0193</v>
      </c>
      <c r="N449" s="166">
        <f t="shared" si="8"/>
        <v>257.0869979</v>
      </c>
      <c r="O449" s="169">
        <f t="shared" si="9"/>
        <v>38228.5227</v>
      </c>
      <c r="P449" s="170">
        <f t="shared" ref="P449:Q449" si="354">P448+$L$7</f>
        <v>168906.5904</v>
      </c>
      <c r="Q449" s="171">
        <f t="shared" si="354"/>
        <v>168906.5904</v>
      </c>
      <c r="R449" s="172"/>
    </row>
    <row r="450" ht="14.25" customHeight="1" outlineLevel="1">
      <c r="A450" s="1"/>
      <c r="B450" s="163"/>
      <c r="C450" s="163"/>
      <c r="D450" s="164"/>
      <c r="E450" s="164">
        <v>347.0</v>
      </c>
      <c r="F450" s="165">
        <f t="shared" si="5"/>
        <v>463697.4251</v>
      </c>
      <c r="G450" s="166">
        <f t="shared" si="2"/>
        <v>266.6260194</v>
      </c>
      <c r="H450" s="167">
        <f t="shared" si="3"/>
        <v>30905.01046</v>
      </c>
      <c r="I450" s="168">
        <f t="shared" si="6"/>
        <v>33496.89031</v>
      </c>
      <c r="J450" s="1"/>
      <c r="K450" s="164"/>
      <c r="L450" s="164">
        <v>347.0</v>
      </c>
      <c r="M450" s="165">
        <f t="shared" si="7"/>
        <v>432792.4146</v>
      </c>
      <c r="N450" s="166">
        <f t="shared" si="8"/>
        <v>258.6190251</v>
      </c>
      <c r="O450" s="169">
        <f t="shared" si="9"/>
        <v>38487.14173</v>
      </c>
      <c r="P450" s="170">
        <f t="shared" ref="P450:Q450" si="355">P449+$L$7</f>
        <v>169394.7597</v>
      </c>
      <c r="Q450" s="171">
        <f t="shared" si="355"/>
        <v>169394.7597</v>
      </c>
      <c r="R450" s="172"/>
    </row>
    <row r="451" ht="14.25" customHeight="1" outlineLevel="1">
      <c r="A451" s="1"/>
      <c r="B451" s="163"/>
      <c r="C451" s="163"/>
      <c r="D451" s="164">
        <v>29.0</v>
      </c>
      <c r="E451" s="164">
        <v>348.0</v>
      </c>
      <c r="F451" s="165">
        <f t="shared" si="5"/>
        <v>466542.0337</v>
      </c>
      <c r="G451" s="166">
        <f t="shared" si="2"/>
        <v>268.2616694</v>
      </c>
      <c r="H451" s="167">
        <f t="shared" si="3"/>
        <v>31071.69962</v>
      </c>
      <c r="I451" s="168">
        <f t="shared" si="6"/>
        <v>33765.15198</v>
      </c>
      <c r="J451" s="1"/>
      <c r="K451" s="164">
        <v>29.0</v>
      </c>
      <c r="L451" s="164">
        <v>348.0</v>
      </c>
      <c r="M451" s="165">
        <f t="shared" si="7"/>
        <v>435470.3341</v>
      </c>
      <c r="N451" s="166">
        <f t="shared" si="8"/>
        <v>260.1588288</v>
      </c>
      <c r="O451" s="169">
        <f t="shared" si="9"/>
        <v>38747.30056</v>
      </c>
      <c r="P451" s="170">
        <f t="shared" ref="P451:Q451" si="356">P450+$L$7</f>
        <v>169882.9291</v>
      </c>
      <c r="Q451" s="171">
        <f t="shared" si="356"/>
        <v>169882.9291</v>
      </c>
      <c r="R451" s="172"/>
    </row>
    <row r="452" ht="14.25" customHeight="1" outlineLevel="1">
      <c r="A452" s="1"/>
      <c r="B452" s="163"/>
      <c r="C452" s="163"/>
      <c r="D452" s="164"/>
      <c r="E452" s="164">
        <v>349.0</v>
      </c>
      <c r="F452" s="165">
        <f t="shared" si="5"/>
        <v>469401.0812</v>
      </c>
      <c r="G452" s="166">
        <f t="shared" si="2"/>
        <v>269.9056217</v>
      </c>
      <c r="H452" s="167">
        <f t="shared" si="3"/>
        <v>31239.23487</v>
      </c>
      <c r="I452" s="168">
        <f t="shared" si="6"/>
        <v>34035.05761</v>
      </c>
      <c r="J452" s="1"/>
      <c r="K452" s="164"/>
      <c r="L452" s="164">
        <v>349.0</v>
      </c>
      <c r="M452" s="165">
        <f t="shared" si="7"/>
        <v>438161.8464</v>
      </c>
      <c r="N452" s="166">
        <f t="shared" si="8"/>
        <v>261.7064484</v>
      </c>
      <c r="O452" s="169">
        <f t="shared" si="9"/>
        <v>39009.00701</v>
      </c>
      <c r="P452" s="170">
        <f t="shared" ref="P452:Q452" si="357">P451+$L$7</f>
        <v>170371.0984</v>
      </c>
      <c r="Q452" s="171">
        <f t="shared" si="357"/>
        <v>170371.0984</v>
      </c>
      <c r="R452" s="172"/>
    </row>
    <row r="453" ht="14.25" customHeight="1" outlineLevel="1">
      <c r="A453" s="1"/>
      <c r="B453" s="163"/>
      <c r="C453" s="163"/>
      <c r="D453" s="164"/>
      <c r="E453" s="164">
        <v>350.0</v>
      </c>
      <c r="F453" s="165">
        <f t="shared" si="5"/>
        <v>472274.641</v>
      </c>
      <c r="G453" s="166">
        <f t="shared" si="2"/>
        <v>271.5579186</v>
      </c>
      <c r="H453" s="167">
        <f t="shared" si="3"/>
        <v>31407.62051</v>
      </c>
      <c r="I453" s="168">
        <f t="shared" si="6"/>
        <v>34306.61552</v>
      </c>
      <c r="J453" s="1"/>
      <c r="K453" s="164"/>
      <c r="L453" s="164">
        <v>350.0</v>
      </c>
      <c r="M453" s="165">
        <f t="shared" si="7"/>
        <v>440867.0205</v>
      </c>
      <c r="N453" s="166">
        <f t="shared" si="8"/>
        <v>263.2619235</v>
      </c>
      <c r="O453" s="169">
        <f t="shared" si="9"/>
        <v>39272.26893</v>
      </c>
      <c r="P453" s="170">
        <f t="shared" ref="P453:Q453" si="358">P452+$L$7</f>
        <v>170859.2677</v>
      </c>
      <c r="Q453" s="171">
        <f t="shared" si="358"/>
        <v>170859.2677</v>
      </c>
      <c r="R453" s="172"/>
    </row>
    <row r="454" ht="14.25" customHeight="1" outlineLevel="1">
      <c r="A454" s="1"/>
      <c r="B454" s="163"/>
      <c r="C454" s="163"/>
      <c r="D454" s="164"/>
      <c r="E454" s="164">
        <v>351.0</v>
      </c>
      <c r="F454" s="165">
        <f t="shared" si="5"/>
        <v>475162.7867</v>
      </c>
      <c r="G454" s="166">
        <f t="shared" si="2"/>
        <v>273.2186023</v>
      </c>
      <c r="H454" s="167">
        <f t="shared" si="3"/>
        <v>31576.86086</v>
      </c>
      <c r="I454" s="168">
        <f t="shared" si="6"/>
        <v>34579.83413</v>
      </c>
      <c r="J454" s="1"/>
      <c r="K454" s="164"/>
      <c r="L454" s="164">
        <v>351.0</v>
      </c>
      <c r="M454" s="165">
        <f t="shared" si="7"/>
        <v>443585.9258</v>
      </c>
      <c r="N454" s="166">
        <f t="shared" si="8"/>
        <v>264.8252941</v>
      </c>
      <c r="O454" s="169">
        <f t="shared" si="9"/>
        <v>39537.09422</v>
      </c>
      <c r="P454" s="170">
        <f t="shared" ref="P454:Q454" si="359">P453+$L$7</f>
        <v>171347.4371</v>
      </c>
      <c r="Q454" s="171">
        <f t="shared" si="359"/>
        <v>171347.4371</v>
      </c>
      <c r="R454" s="172"/>
    </row>
    <row r="455" ht="14.25" customHeight="1" outlineLevel="1">
      <c r="A455" s="1"/>
      <c r="B455" s="163"/>
      <c r="C455" s="163"/>
      <c r="D455" s="164"/>
      <c r="E455" s="164">
        <v>352.0</v>
      </c>
      <c r="F455" s="165">
        <f t="shared" si="5"/>
        <v>478065.5922</v>
      </c>
      <c r="G455" s="166">
        <f t="shared" si="2"/>
        <v>274.8877155</v>
      </c>
      <c r="H455" s="167">
        <f t="shared" si="3"/>
        <v>31746.96026</v>
      </c>
      <c r="I455" s="168">
        <f t="shared" si="6"/>
        <v>34854.72184</v>
      </c>
      <c r="J455" s="1"/>
      <c r="K455" s="164"/>
      <c r="L455" s="164">
        <v>352.0</v>
      </c>
      <c r="M455" s="165">
        <f t="shared" si="7"/>
        <v>446318.632</v>
      </c>
      <c r="N455" s="166">
        <f t="shared" si="8"/>
        <v>266.3966001</v>
      </c>
      <c r="O455" s="169">
        <f t="shared" si="9"/>
        <v>39803.49082</v>
      </c>
      <c r="P455" s="170">
        <f t="shared" ref="P455:Q455" si="360">P454+$L$7</f>
        <v>171835.6064</v>
      </c>
      <c r="Q455" s="171">
        <f t="shared" si="360"/>
        <v>171835.6064</v>
      </c>
      <c r="R455" s="172"/>
    </row>
    <row r="456" ht="14.25" customHeight="1" outlineLevel="1">
      <c r="A456" s="1"/>
      <c r="B456" s="163"/>
      <c r="C456" s="163"/>
      <c r="D456" s="164"/>
      <c r="E456" s="164">
        <v>353.0</v>
      </c>
      <c r="F456" s="165">
        <f t="shared" si="5"/>
        <v>480983.1321</v>
      </c>
      <c r="G456" s="166">
        <f t="shared" si="2"/>
        <v>276.565301</v>
      </c>
      <c r="H456" s="167">
        <f t="shared" si="3"/>
        <v>31917.92306</v>
      </c>
      <c r="I456" s="168">
        <f t="shared" si="6"/>
        <v>35131.28714</v>
      </c>
      <c r="J456" s="1"/>
      <c r="K456" s="164"/>
      <c r="L456" s="164">
        <v>353.0</v>
      </c>
      <c r="M456" s="165">
        <f t="shared" si="7"/>
        <v>449065.2091</v>
      </c>
      <c r="N456" s="166">
        <f t="shared" si="8"/>
        <v>267.9758819</v>
      </c>
      <c r="O456" s="169">
        <f t="shared" si="9"/>
        <v>40071.46671</v>
      </c>
      <c r="P456" s="170">
        <f t="shared" ref="P456:Q456" si="361">P455+$L$7</f>
        <v>172323.7757</v>
      </c>
      <c r="Q456" s="171">
        <f t="shared" si="361"/>
        <v>172323.7757</v>
      </c>
      <c r="R456" s="172"/>
    </row>
    <row r="457" ht="14.25" customHeight="1" outlineLevel="1">
      <c r="A457" s="1"/>
      <c r="B457" s="163"/>
      <c r="C457" s="163"/>
      <c r="D457" s="164"/>
      <c r="E457" s="164">
        <v>354.0</v>
      </c>
      <c r="F457" s="165">
        <f t="shared" si="5"/>
        <v>483915.4812</v>
      </c>
      <c r="G457" s="166">
        <f t="shared" si="2"/>
        <v>278.2514017</v>
      </c>
      <c r="H457" s="167">
        <f t="shared" si="3"/>
        <v>32089.75365</v>
      </c>
      <c r="I457" s="168">
        <f t="shared" si="6"/>
        <v>35409.53854</v>
      </c>
      <c r="J457" s="1"/>
      <c r="K457" s="164"/>
      <c r="L457" s="164">
        <v>354.0</v>
      </c>
      <c r="M457" s="165">
        <f t="shared" si="7"/>
        <v>451825.7275</v>
      </c>
      <c r="N457" s="166">
        <f t="shared" si="8"/>
        <v>269.56318</v>
      </c>
      <c r="O457" s="169">
        <f t="shared" si="9"/>
        <v>40341.02989</v>
      </c>
      <c r="P457" s="170">
        <f t="shared" ref="P457:Q457" si="362">P456+$L$7</f>
        <v>172811.9451</v>
      </c>
      <c r="Q457" s="171">
        <f t="shared" si="362"/>
        <v>172811.9451</v>
      </c>
      <c r="R457" s="172"/>
    </row>
    <row r="458" ht="14.25" customHeight="1" outlineLevel="1">
      <c r="A458" s="1"/>
      <c r="B458" s="163"/>
      <c r="C458" s="163"/>
      <c r="D458" s="164"/>
      <c r="E458" s="164">
        <v>355.0</v>
      </c>
      <c r="F458" s="165">
        <f t="shared" si="5"/>
        <v>486862.7145</v>
      </c>
      <c r="G458" s="166">
        <f t="shared" si="2"/>
        <v>279.9460608</v>
      </c>
      <c r="H458" s="167">
        <f t="shared" si="3"/>
        <v>32262.45644</v>
      </c>
      <c r="I458" s="168">
        <f t="shared" si="6"/>
        <v>35689.48461</v>
      </c>
      <c r="J458" s="1"/>
      <c r="K458" s="164"/>
      <c r="L458" s="164">
        <v>355.0</v>
      </c>
      <c r="M458" s="165">
        <f t="shared" si="7"/>
        <v>454600.2581</v>
      </c>
      <c r="N458" s="166">
        <f t="shared" si="8"/>
        <v>271.1585351</v>
      </c>
      <c r="O458" s="169">
        <f t="shared" si="9"/>
        <v>40612.18842</v>
      </c>
      <c r="P458" s="170">
        <f t="shared" ref="P458:Q458" si="363">P457+$L$7</f>
        <v>173300.1144</v>
      </c>
      <c r="Q458" s="171">
        <f t="shared" si="363"/>
        <v>173300.1144</v>
      </c>
      <c r="R458" s="172"/>
    </row>
    <row r="459" ht="14.25" customHeight="1" outlineLevel="1">
      <c r="A459" s="1"/>
      <c r="B459" s="163"/>
      <c r="C459" s="163"/>
      <c r="D459" s="164"/>
      <c r="E459" s="164">
        <v>356.0</v>
      </c>
      <c r="F459" s="165">
        <f t="shared" si="5"/>
        <v>489824.9077</v>
      </c>
      <c r="G459" s="166">
        <f t="shared" si="2"/>
        <v>281.6493219</v>
      </c>
      <c r="H459" s="167">
        <f t="shared" si="3"/>
        <v>32436.03585</v>
      </c>
      <c r="I459" s="168">
        <f t="shared" si="6"/>
        <v>35971.13393</v>
      </c>
      <c r="J459" s="1"/>
      <c r="K459" s="164"/>
      <c r="L459" s="164">
        <v>356.0</v>
      </c>
      <c r="M459" s="165">
        <f t="shared" si="7"/>
        <v>457388.8718</v>
      </c>
      <c r="N459" s="166">
        <f t="shared" si="8"/>
        <v>272.761988</v>
      </c>
      <c r="O459" s="169">
        <f t="shared" si="9"/>
        <v>40884.95041</v>
      </c>
      <c r="P459" s="170">
        <f t="shared" ref="P459:Q459" si="364">P458+$L$7</f>
        <v>173788.2837</v>
      </c>
      <c r="Q459" s="171">
        <f t="shared" si="364"/>
        <v>173788.2837</v>
      </c>
      <c r="R459" s="172"/>
    </row>
    <row r="460" ht="14.25" customHeight="1" outlineLevel="1">
      <c r="A460" s="1"/>
      <c r="B460" s="163"/>
      <c r="C460" s="163"/>
      <c r="D460" s="164"/>
      <c r="E460" s="164">
        <v>357.0</v>
      </c>
      <c r="F460" s="165">
        <f t="shared" si="5"/>
        <v>492802.1366</v>
      </c>
      <c r="G460" s="166">
        <f t="shared" si="2"/>
        <v>283.3612286</v>
      </c>
      <c r="H460" s="167">
        <f t="shared" si="3"/>
        <v>32610.49633</v>
      </c>
      <c r="I460" s="168">
        <f t="shared" si="6"/>
        <v>36254.49516</v>
      </c>
      <c r="J460" s="1"/>
      <c r="K460" s="164"/>
      <c r="L460" s="164">
        <v>357.0</v>
      </c>
      <c r="M460" s="165">
        <f t="shared" si="7"/>
        <v>460191.6403</v>
      </c>
      <c r="N460" s="166">
        <f t="shared" si="8"/>
        <v>274.3735799</v>
      </c>
      <c r="O460" s="169">
        <f t="shared" si="9"/>
        <v>41159.32399</v>
      </c>
      <c r="P460" s="170">
        <f t="shared" ref="P460:Q460" si="365">P459+$L$7</f>
        <v>174276.4531</v>
      </c>
      <c r="Q460" s="171">
        <f t="shared" si="365"/>
        <v>174276.4531</v>
      </c>
      <c r="R460" s="172"/>
    </row>
    <row r="461" ht="14.25" customHeight="1" outlineLevel="1">
      <c r="A461" s="1"/>
      <c r="B461" s="163"/>
      <c r="C461" s="163"/>
      <c r="D461" s="164"/>
      <c r="E461" s="164">
        <v>358.0</v>
      </c>
      <c r="F461" s="165">
        <f t="shared" si="5"/>
        <v>495794.4777</v>
      </c>
      <c r="G461" s="166">
        <f t="shared" si="2"/>
        <v>285.0818247</v>
      </c>
      <c r="H461" s="167">
        <f t="shared" si="3"/>
        <v>32785.84235</v>
      </c>
      <c r="I461" s="168">
        <f t="shared" si="6"/>
        <v>36539.57698</v>
      </c>
      <c r="J461" s="1"/>
      <c r="K461" s="164"/>
      <c r="L461" s="164">
        <v>358.0</v>
      </c>
      <c r="M461" s="165">
        <f t="shared" si="7"/>
        <v>463008.6353</v>
      </c>
      <c r="N461" s="166">
        <f t="shared" si="8"/>
        <v>275.993352</v>
      </c>
      <c r="O461" s="169">
        <f t="shared" si="9"/>
        <v>41435.31734</v>
      </c>
      <c r="P461" s="170">
        <f t="shared" ref="P461:Q461" si="366">P460+$L$7</f>
        <v>174764.6224</v>
      </c>
      <c r="Q461" s="171">
        <f t="shared" si="366"/>
        <v>174764.6224</v>
      </c>
      <c r="R461" s="172"/>
    </row>
    <row r="462" ht="14.25" customHeight="1" outlineLevel="1">
      <c r="A462" s="1"/>
      <c r="B462" s="163"/>
      <c r="C462" s="163"/>
      <c r="D462" s="164"/>
      <c r="E462" s="164">
        <v>359.0</v>
      </c>
      <c r="F462" s="165">
        <f t="shared" si="5"/>
        <v>498802.0075</v>
      </c>
      <c r="G462" s="166">
        <f t="shared" si="2"/>
        <v>286.8111543</v>
      </c>
      <c r="H462" s="167">
        <f t="shared" si="3"/>
        <v>32962.07841</v>
      </c>
      <c r="I462" s="168">
        <f t="shared" si="6"/>
        <v>36826.38813</v>
      </c>
      <c r="J462" s="1"/>
      <c r="K462" s="164"/>
      <c r="L462" s="164">
        <v>359.0</v>
      </c>
      <c r="M462" s="165">
        <f t="shared" si="7"/>
        <v>465839.9291</v>
      </c>
      <c r="N462" s="166">
        <f t="shared" si="8"/>
        <v>277.621346</v>
      </c>
      <c r="O462" s="169">
        <f t="shared" si="9"/>
        <v>41712.93869</v>
      </c>
      <c r="P462" s="170">
        <f t="shared" ref="P462:Q462" si="367">P461+$L$7</f>
        <v>175252.7918</v>
      </c>
      <c r="Q462" s="171">
        <f t="shared" si="367"/>
        <v>175252.7918</v>
      </c>
      <c r="R462" s="172"/>
    </row>
    <row r="463" ht="14.25" customHeight="1" outlineLevel="1">
      <c r="A463" s="1"/>
      <c r="B463" s="163"/>
      <c r="C463" s="163"/>
      <c r="D463" s="164">
        <v>30.0</v>
      </c>
      <c r="E463" s="164">
        <v>360.0</v>
      </c>
      <c r="F463" s="165">
        <f t="shared" si="5"/>
        <v>501824.8033</v>
      </c>
      <c r="G463" s="166">
        <f t="shared" si="2"/>
        <v>288.5492619</v>
      </c>
      <c r="H463" s="167">
        <f t="shared" si="3"/>
        <v>33139.20902</v>
      </c>
      <c r="I463" s="168">
        <f t="shared" si="6"/>
        <v>37114.9374</v>
      </c>
      <c r="J463" s="1"/>
      <c r="K463" s="164">
        <v>30.0</v>
      </c>
      <c r="L463" s="164">
        <v>360.0</v>
      </c>
      <c r="M463" s="165">
        <f t="shared" si="7"/>
        <v>468685.5943</v>
      </c>
      <c r="N463" s="166">
        <f t="shared" si="8"/>
        <v>279.2576034</v>
      </c>
      <c r="O463" s="169">
        <f t="shared" si="9"/>
        <v>41992.19629</v>
      </c>
      <c r="P463" s="170">
        <f t="shared" ref="P463:Q463" si="368">P462+$L$7</f>
        <v>175740.9611</v>
      </c>
      <c r="Q463" s="171">
        <f t="shared" si="368"/>
        <v>175740.9611</v>
      </c>
      <c r="R463" s="172"/>
    </row>
    <row r="464" ht="14.25" customHeight="1" outlineLevel="1">
      <c r="A464" s="1"/>
      <c r="B464" s="163"/>
      <c r="C464" s="163"/>
      <c r="D464" s="164"/>
      <c r="E464" s="164">
        <v>361.0</v>
      </c>
      <c r="F464" s="165">
        <f t="shared" si="5"/>
        <v>504862.9424</v>
      </c>
      <c r="G464" s="166">
        <f t="shared" si="2"/>
        <v>290.2961919</v>
      </c>
      <c r="H464" s="167">
        <f t="shared" si="3"/>
        <v>33317.23873</v>
      </c>
      <c r="I464" s="168">
        <f t="shared" si="6"/>
        <v>37405.23359</v>
      </c>
      <c r="J464" s="1"/>
      <c r="K464" s="164"/>
      <c r="L464" s="164">
        <v>361.0</v>
      </c>
      <c r="M464" s="165">
        <f t="shared" si="7"/>
        <v>471545.7037</v>
      </c>
      <c r="N464" s="166">
        <f t="shared" si="8"/>
        <v>280.9021664</v>
      </c>
      <c r="O464" s="169">
        <f t="shared" si="9"/>
        <v>42273.09846</v>
      </c>
      <c r="P464" s="170">
        <f t="shared" ref="P464:Q464" si="369">P463+$L$7</f>
        <v>176229.1304</v>
      </c>
      <c r="Q464" s="171">
        <f t="shared" si="369"/>
        <v>176229.1304</v>
      </c>
      <c r="R464" s="172"/>
    </row>
    <row r="465" ht="14.25" customHeight="1" outlineLevel="1">
      <c r="A465" s="1"/>
      <c r="B465" s="163"/>
      <c r="C465" s="163"/>
      <c r="D465" s="164"/>
      <c r="E465" s="164">
        <v>362.0</v>
      </c>
      <c r="F465" s="165">
        <f t="shared" si="5"/>
        <v>507916.5029</v>
      </c>
      <c r="G465" s="166">
        <f t="shared" si="2"/>
        <v>292.0519891</v>
      </c>
      <c r="H465" s="167">
        <f t="shared" si="3"/>
        <v>33496.1721</v>
      </c>
      <c r="I465" s="168">
        <f t="shared" si="6"/>
        <v>37697.28558</v>
      </c>
      <c r="J465" s="1"/>
      <c r="K465" s="164"/>
      <c r="L465" s="164">
        <v>362.0</v>
      </c>
      <c r="M465" s="165">
        <f t="shared" si="7"/>
        <v>474420.3308</v>
      </c>
      <c r="N465" s="166">
        <f t="shared" si="8"/>
        <v>282.5550769</v>
      </c>
      <c r="O465" s="169">
        <f t="shared" si="9"/>
        <v>42555.65353</v>
      </c>
      <c r="P465" s="170">
        <f t="shared" ref="P465:Q465" si="370">P464+$L$7</f>
        <v>176717.2998</v>
      </c>
      <c r="Q465" s="171">
        <f t="shared" si="370"/>
        <v>176717.2998</v>
      </c>
      <c r="R465" s="172"/>
    </row>
    <row r="466" ht="14.25" customHeight="1" outlineLevel="1">
      <c r="A466" s="1"/>
      <c r="B466" s="163"/>
      <c r="C466" s="163"/>
      <c r="D466" s="164"/>
      <c r="E466" s="164">
        <v>363.0</v>
      </c>
      <c r="F466" s="165">
        <f t="shared" si="5"/>
        <v>510985.5628</v>
      </c>
      <c r="G466" s="166">
        <f t="shared" si="2"/>
        <v>293.8166986</v>
      </c>
      <c r="H466" s="167">
        <f t="shared" si="3"/>
        <v>33676.01372</v>
      </c>
      <c r="I466" s="168">
        <f t="shared" si="6"/>
        <v>37991.10228</v>
      </c>
      <c r="J466" s="1"/>
      <c r="K466" s="164"/>
      <c r="L466" s="164">
        <v>363.0</v>
      </c>
      <c r="M466" s="165">
        <f t="shared" si="7"/>
        <v>477309.5491</v>
      </c>
      <c r="N466" s="166">
        <f t="shared" si="8"/>
        <v>284.2163775</v>
      </c>
      <c r="O466" s="169">
        <f t="shared" si="9"/>
        <v>42839.86991</v>
      </c>
      <c r="P466" s="170">
        <f t="shared" ref="P466:Q466" si="371">P465+$L$7</f>
        <v>177205.4691</v>
      </c>
      <c r="Q466" s="171">
        <f t="shared" si="371"/>
        <v>177205.4691</v>
      </c>
      <c r="R466" s="172"/>
    </row>
    <row r="467" ht="14.25" customHeight="1" outlineLevel="1">
      <c r="A467" s="1"/>
      <c r="B467" s="163"/>
      <c r="C467" s="163"/>
      <c r="D467" s="164"/>
      <c r="E467" s="164">
        <v>364.0</v>
      </c>
      <c r="F467" s="165">
        <f t="shared" si="5"/>
        <v>514070.201</v>
      </c>
      <c r="G467" s="166">
        <f t="shared" si="2"/>
        <v>295.5903656</v>
      </c>
      <c r="H467" s="167">
        <f t="shared" si="3"/>
        <v>33856.7682</v>
      </c>
      <c r="I467" s="168">
        <f t="shared" si="6"/>
        <v>38286.69264</v>
      </c>
      <c r="J467" s="1"/>
      <c r="K467" s="164"/>
      <c r="L467" s="164">
        <v>364.0</v>
      </c>
      <c r="M467" s="165">
        <f t="shared" si="7"/>
        <v>480213.4328</v>
      </c>
      <c r="N467" s="166">
        <f t="shared" si="8"/>
        <v>285.8861106</v>
      </c>
      <c r="O467" s="169">
        <f t="shared" si="9"/>
        <v>43125.75602</v>
      </c>
      <c r="P467" s="170">
        <f t="shared" ref="P467:Q467" si="372">P466+$L$7</f>
        <v>177693.6384</v>
      </c>
      <c r="Q467" s="171">
        <f t="shared" si="372"/>
        <v>177693.6384</v>
      </c>
      <c r="R467" s="172"/>
    </row>
    <row r="468" ht="14.25" customHeight="1" outlineLevel="1">
      <c r="A468" s="1"/>
      <c r="B468" s="163"/>
      <c r="C468" s="163"/>
      <c r="D468" s="164"/>
      <c r="E468" s="164">
        <v>365.0</v>
      </c>
      <c r="F468" s="165">
        <f t="shared" si="5"/>
        <v>517170.4965</v>
      </c>
      <c r="G468" s="166">
        <f t="shared" si="2"/>
        <v>297.3730355</v>
      </c>
      <c r="H468" s="167">
        <f t="shared" si="3"/>
        <v>34038.44016</v>
      </c>
      <c r="I468" s="168">
        <f t="shared" si="6"/>
        <v>38584.06568</v>
      </c>
      <c r="J468" s="1"/>
      <c r="K468" s="164"/>
      <c r="L468" s="164">
        <v>365.0</v>
      </c>
      <c r="M468" s="165">
        <f t="shared" si="7"/>
        <v>483132.0564</v>
      </c>
      <c r="N468" s="166">
        <f t="shared" si="8"/>
        <v>287.5643191</v>
      </c>
      <c r="O468" s="169">
        <f t="shared" si="9"/>
        <v>43413.32034</v>
      </c>
      <c r="P468" s="170">
        <f t="shared" ref="P468:Q468" si="373">P467+$L$7</f>
        <v>178181.8078</v>
      </c>
      <c r="Q468" s="171">
        <f t="shared" si="373"/>
        <v>178181.8078</v>
      </c>
      <c r="R468" s="172"/>
    </row>
    <row r="469" ht="14.25" customHeight="1" outlineLevel="1">
      <c r="A469" s="1"/>
      <c r="B469" s="163"/>
      <c r="C469" s="163"/>
      <c r="D469" s="164"/>
      <c r="E469" s="164">
        <v>366.0</v>
      </c>
      <c r="F469" s="165">
        <f t="shared" si="5"/>
        <v>520286.5288</v>
      </c>
      <c r="G469" s="166">
        <f t="shared" si="2"/>
        <v>299.1647541</v>
      </c>
      <c r="H469" s="167">
        <f t="shared" si="3"/>
        <v>34221.03428</v>
      </c>
      <c r="I469" s="168">
        <f t="shared" si="6"/>
        <v>38883.23043</v>
      </c>
      <c r="J469" s="1"/>
      <c r="K469" s="164"/>
      <c r="L469" s="164">
        <v>366.0</v>
      </c>
      <c r="M469" s="165">
        <f t="shared" si="7"/>
        <v>486065.4945</v>
      </c>
      <c r="N469" s="166">
        <f t="shared" si="8"/>
        <v>289.2510461</v>
      </c>
      <c r="O469" s="169">
        <f t="shared" si="9"/>
        <v>43702.57139</v>
      </c>
      <c r="P469" s="170">
        <f t="shared" ref="P469:Q469" si="374">P468+$L$7</f>
        <v>178669.9771</v>
      </c>
      <c r="Q469" s="171">
        <f t="shared" si="374"/>
        <v>178669.9771</v>
      </c>
      <c r="R469" s="172"/>
    </row>
    <row r="470" ht="14.25" customHeight="1" outlineLevel="1">
      <c r="A470" s="1"/>
      <c r="B470" s="163"/>
      <c r="C470" s="163"/>
      <c r="D470" s="164"/>
      <c r="E470" s="164">
        <v>367.0</v>
      </c>
      <c r="F470" s="165">
        <f t="shared" si="5"/>
        <v>523418.3777</v>
      </c>
      <c r="G470" s="166">
        <f t="shared" si="2"/>
        <v>300.9655672</v>
      </c>
      <c r="H470" s="167">
        <f t="shared" si="3"/>
        <v>34404.55522</v>
      </c>
      <c r="I470" s="168">
        <f t="shared" si="6"/>
        <v>39184.196</v>
      </c>
      <c r="J470" s="1"/>
      <c r="K470" s="164"/>
      <c r="L470" s="164">
        <v>367.0</v>
      </c>
      <c r="M470" s="165">
        <f t="shared" si="7"/>
        <v>489013.8225</v>
      </c>
      <c r="N470" s="166">
        <f t="shared" si="8"/>
        <v>290.9463347</v>
      </c>
      <c r="O470" s="169">
        <f t="shared" si="9"/>
        <v>43993.51772</v>
      </c>
      <c r="P470" s="170">
        <f t="shared" ref="P470:Q470" si="375">P469+$L$7</f>
        <v>179158.1464</v>
      </c>
      <c r="Q470" s="171">
        <f t="shared" si="375"/>
        <v>179158.1464</v>
      </c>
      <c r="R470" s="172"/>
    </row>
    <row r="471" ht="14.25" customHeight="1" outlineLevel="1">
      <c r="A471" s="1"/>
      <c r="B471" s="163"/>
      <c r="C471" s="163"/>
      <c r="D471" s="164"/>
      <c r="E471" s="164">
        <v>368.0</v>
      </c>
      <c r="F471" s="165">
        <f t="shared" si="5"/>
        <v>526566.1236</v>
      </c>
      <c r="G471" s="166">
        <f t="shared" si="2"/>
        <v>302.7755211</v>
      </c>
      <c r="H471" s="167">
        <f t="shared" si="3"/>
        <v>34589.00769</v>
      </c>
      <c r="I471" s="168">
        <f t="shared" si="6"/>
        <v>39486.97152</v>
      </c>
      <c r="J471" s="1"/>
      <c r="K471" s="164"/>
      <c r="L471" s="164">
        <v>368.0</v>
      </c>
      <c r="M471" s="165">
        <f t="shared" si="7"/>
        <v>491977.1159</v>
      </c>
      <c r="N471" s="166">
        <f t="shared" si="8"/>
        <v>292.6502284</v>
      </c>
      <c r="O471" s="169">
        <f t="shared" si="9"/>
        <v>44286.16795</v>
      </c>
      <c r="P471" s="170">
        <f t="shared" ref="P471:Q471" si="376">P470+$L$7</f>
        <v>179646.3158</v>
      </c>
      <c r="Q471" s="171">
        <f t="shared" si="376"/>
        <v>179646.3158</v>
      </c>
      <c r="R471" s="172"/>
    </row>
    <row r="472" ht="14.25" customHeight="1" outlineLevel="1">
      <c r="A472" s="1"/>
      <c r="B472" s="163"/>
      <c r="C472" s="163"/>
      <c r="D472" s="164"/>
      <c r="E472" s="164">
        <v>369.0</v>
      </c>
      <c r="F472" s="165">
        <f t="shared" si="5"/>
        <v>529729.8471</v>
      </c>
      <c r="G472" s="166">
        <f t="shared" si="2"/>
        <v>304.5946621</v>
      </c>
      <c r="H472" s="167">
        <f t="shared" si="3"/>
        <v>34774.39643</v>
      </c>
      <c r="I472" s="168">
        <f t="shared" si="6"/>
        <v>39791.56618</v>
      </c>
      <c r="J472" s="1"/>
      <c r="K472" s="164"/>
      <c r="L472" s="164">
        <v>369.0</v>
      </c>
      <c r="M472" s="165">
        <f t="shared" si="7"/>
        <v>494955.4506</v>
      </c>
      <c r="N472" s="166">
        <f t="shared" si="8"/>
        <v>294.3627708</v>
      </c>
      <c r="O472" s="169">
        <f t="shared" si="9"/>
        <v>44580.53072</v>
      </c>
      <c r="P472" s="170">
        <f t="shared" ref="P472:Q472" si="377">P471+$L$7</f>
        <v>180134.4851</v>
      </c>
      <c r="Q472" s="171">
        <f t="shared" si="377"/>
        <v>180134.4851</v>
      </c>
      <c r="R472" s="172"/>
    </row>
    <row r="473" ht="14.25" customHeight="1" outlineLevel="1">
      <c r="A473" s="1"/>
      <c r="B473" s="163"/>
      <c r="C473" s="163"/>
      <c r="D473" s="164"/>
      <c r="E473" s="164">
        <v>370.0</v>
      </c>
      <c r="F473" s="165">
        <f t="shared" si="5"/>
        <v>532909.6293</v>
      </c>
      <c r="G473" s="166">
        <f t="shared" si="2"/>
        <v>306.4230368</v>
      </c>
      <c r="H473" s="167">
        <f t="shared" si="3"/>
        <v>34960.72618</v>
      </c>
      <c r="I473" s="168">
        <f t="shared" si="6"/>
        <v>40097.98922</v>
      </c>
      <c r="J473" s="1"/>
      <c r="K473" s="164"/>
      <c r="L473" s="164">
        <v>370.0</v>
      </c>
      <c r="M473" s="165">
        <f t="shared" si="7"/>
        <v>497948.9031</v>
      </c>
      <c r="N473" s="166">
        <f t="shared" si="8"/>
        <v>296.084006</v>
      </c>
      <c r="O473" s="169">
        <f t="shared" si="9"/>
        <v>44876.61473</v>
      </c>
      <c r="P473" s="170">
        <f t="shared" ref="P473:Q473" si="378">P472+$L$7</f>
        <v>180622.6545</v>
      </c>
      <c r="Q473" s="171">
        <f t="shared" si="378"/>
        <v>180622.6545</v>
      </c>
      <c r="R473" s="172"/>
    </row>
    <row r="474" ht="14.25" customHeight="1" outlineLevel="1">
      <c r="A474" s="1"/>
      <c r="B474" s="163"/>
      <c r="C474" s="163"/>
      <c r="D474" s="164"/>
      <c r="E474" s="164">
        <v>371.0</v>
      </c>
      <c r="F474" s="165">
        <f t="shared" si="5"/>
        <v>536105.5517</v>
      </c>
      <c r="G474" s="166">
        <f t="shared" si="2"/>
        <v>308.2606922</v>
      </c>
      <c r="H474" s="167">
        <f t="shared" si="3"/>
        <v>35148.00172</v>
      </c>
      <c r="I474" s="168">
        <f t="shared" si="6"/>
        <v>40406.24991</v>
      </c>
      <c r="J474" s="1"/>
      <c r="K474" s="164"/>
      <c r="L474" s="164">
        <v>371.0</v>
      </c>
      <c r="M474" s="165">
        <f t="shared" si="7"/>
        <v>500957.55</v>
      </c>
      <c r="N474" s="166">
        <f t="shared" si="8"/>
        <v>297.813978</v>
      </c>
      <c r="O474" s="169">
        <f t="shared" si="9"/>
        <v>45174.4287</v>
      </c>
      <c r="P474" s="170">
        <f t="shared" ref="P474:Q474" si="379">P473+$L$7</f>
        <v>181110.8238</v>
      </c>
      <c r="Q474" s="171">
        <f t="shared" si="379"/>
        <v>181110.8238</v>
      </c>
      <c r="R474" s="172"/>
    </row>
    <row r="475" ht="14.25" customHeight="1" outlineLevel="1">
      <c r="A475" s="1"/>
      <c r="B475" s="163"/>
      <c r="C475" s="163"/>
      <c r="D475" s="164">
        <v>31.0</v>
      </c>
      <c r="E475" s="164">
        <v>372.0</v>
      </c>
      <c r="F475" s="165">
        <f t="shared" si="5"/>
        <v>539317.6963</v>
      </c>
      <c r="G475" s="166">
        <f t="shared" si="2"/>
        <v>310.1076754</v>
      </c>
      <c r="H475" s="167">
        <f t="shared" si="3"/>
        <v>35336.22785</v>
      </c>
      <c r="I475" s="168">
        <f t="shared" si="6"/>
        <v>40716.35759</v>
      </c>
      <c r="J475" s="1"/>
      <c r="K475" s="164">
        <v>31.0</v>
      </c>
      <c r="L475" s="164">
        <v>372.0</v>
      </c>
      <c r="M475" s="165">
        <f t="shared" si="7"/>
        <v>503981.4685</v>
      </c>
      <c r="N475" s="166">
        <f t="shared" si="8"/>
        <v>299.5527311</v>
      </c>
      <c r="O475" s="169">
        <f t="shared" si="9"/>
        <v>45473.98144</v>
      </c>
      <c r="P475" s="170">
        <f t="shared" ref="P475:Q475" si="380">P474+$L$7</f>
        <v>181598.9931</v>
      </c>
      <c r="Q475" s="171">
        <f t="shared" si="380"/>
        <v>181598.9931</v>
      </c>
      <c r="R475" s="172"/>
    </row>
    <row r="476" ht="14.25" customHeight="1" outlineLevel="1">
      <c r="A476" s="1"/>
      <c r="B476" s="163"/>
      <c r="C476" s="163"/>
      <c r="D476" s="164"/>
      <c r="E476" s="164">
        <v>373.0</v>
      </c>
      <c r="F476" s="165">
        <f t="shared" si="5"/>
        <v>542546.1454</v>
      </c>
      <c r="G476" s="166">
        <f t="shared" si="2"/>
        <v>311.9640336</v>
      </c>
      <c r="H476" s="167">
        <f t="shared" si="3"/>
        <v>35525.40939</v>
      </c>
      <c r="I476" s="168">
        <f t="shared" si="6"/>
        <v>41028.32162</v>
      </c>
      <c r="J476" s="1"/>
      <c r="K476" s="164"/>
      <c r="L476" s="164">
        <v>373.0</v>
      </c>
      <c r="M476" s="165">
        <f t="shared" si="7"/>
        <v>507020.736</v>
      </c>
      <c r="N476" s="166">
        <f t="shared" si="8"/>
        <v>301.3003099</v>
      </c>
      <c r="O476" s="169">
        <f t="shared" si="9"/>
        <v>45775.28175</v>
      </c>
      <c r="P476" s="170">
        <f t="shared" ref="P476:Q476" si="381">P475+$L$7</f>
        <v>182087.1625</v>
      </c>
      <c r="Q476" s="171">
        <f t="shared" si="381"/>
        <v>182087.1625</v>
      </c>
      <c r="R476" s="172"/>
    </row>
    <row r="477" ht="14.25" customHeight="1" outlineLevel="1">
      <c r="A477" s="1"/>
      <c r="B477" s="163"/>
      <c r="C477" s="163"/>
      <c r="D477" s="164"/>
      <c r="E477" s="164">
        <v>374.0</v>
      </c>
      <c r="F477" s="165">
        <f t="shared" si="5"/>
        <v>545790.9818</v>
      </c>
      <c r="G477" s="166">
        <f t="shared" si="2"/>
        <v>313.8298145</v>
      </c>
      <c r="H477" s="167">
        <f t="shared" si="3"/>
        <v>35715.5512</v>
      </c>
      <c r="I477" s="168">
        <f t="shared" si="6"/>
        <v>41342.15143</v>
      </c>
      <c r="J477" s="1"/>
      <c r="K477" s="164"/>
      <c r="L477" s="164">
        <v>374.0</v>
      </c>
      <c r="M477" s="165">
        <f t="shared" si="7"/>
        <v>510075.4306</v>
      </c>
      <c r="N477" s="166">
        <f t="shared" si="8"/>
        <v>303.0567593</v>
      </c>
      <c r="O477" s="169">
        <f t="shared" si="9"/>
        <v>46078.3385</v>
      </c>
      <c r="P477" s="170">
        <f t="shared" ref="P477:Q477" si="382">P476+$L$7</f>
        <v>182575.3318</v>
      </c>
      <c r="Q477" s="171">
        <f t="shared" si="382"/>
        <v>182575.3318</v>
      </c>
      <c r="R477" s="172"/>
    </row>
    <row r="478" ht="14.25" customHeight="1" outlineLevel="1">
      <c r="A478" s="1"/>
      <c r="B478" s="163"/>
      <c r="C478" s="163"/>
      <c r="D478" s="164"/>
      <c r="E478" s="164">
        <v>375.0</v>
      </c>
      <c r="F478" s="165">
        <f t="shared" si="5"/>
        <v>549052.2886</v>
      </c>
      <c r="G478" s="166">
        <f t="shared" si="2"/>
        <v>315.705066</v>
      </c>
      <c r="H478" s="167">
        <f t="shared" si="3"/>
        <v>35906.65816</v>
      </c>
      <c r="I478" s="168">
        <f t="shared" si="6"/>
        <v>41657.8565</v>
      </c>
      <c r="J478" s="1"/>
      <c r="K478" s="164"/>
      <c r="L478" s="164">
        <v>375.0</v>
      </c>
      <c r="M478" s="165">
        <f t="shared" si="7"/>
        <v>513145.6305</v>
      </c>
      <c r="N478" s="166">
        <f t="shared" si="8"/>
        <v>304.8221242</v>
      </c>
      <c r="O478" s="169">
        <f t="shared" si="9"/>
        <v>46383.16063</v>
      </c>
      <c r="P478" s="170">
        <f t="shared" ref="P478:Q478" si="383">P477+$L$7</f>
        <v>183063.5011</v>
      </c>
      <c r="Q478" s="171">
        <f t="shared" si="383"/>
        <v>183063.5011</v>
      </c>
      <c r="R478" s="172"/>
    </row>
    <row r="479" ht="14.25" customHeight="1" outlineLevel="1">
      <c r="A479" s="1"/>
      <c r="B479" s="163"/>
      <c r="C479" s="163"/>
      <c r="D479" s="164"/>
      <c r="E479" s="164">
        <v>376.0</v>
      </c>
      <c r="F479" s="165">
        <f t="shared" si="5"/>
        <v>552330.1495</v>
      </c>
      <c r="G479" s="166">
        <f t="shared" si="2"/>
        <v>317.589836</v>
      </c>
      <c r="H479" s="167">
        <f t="shared" si="3"/>
        <v>36098.73515</v>
      </c>
      <c r="I479" s="168">
        <f t="shared" si="6"/>
        <v>41975.44634</v>
      </c>
      <c r="J479" s="1"/>
      <c r="K479" s="164"/>
      <c r="L479" s="164">
        <v>376.0</v>
      </c>
      <c r="M479" s="165">
        <f t="shared" si="7"/>
        <v>516231.4144</v>
      </c>
      <c r="N479" s="166">
        <f t="shared" si="8"/>
        <v>306.59645</v>
      </c>
      <c r="O479" s="169">
        <f t="shared" si="9"/>
        <v>46689.75708</v>
      </c>
      <c r="P479" s="170">
        <f t="shared" ref="P479:Q479" si="384">P478+$L$7</f>
        <v>183551.6705</v>
      </c>
      <c r="Q479" s="171">
        <f t="shared" si="384"/>
        <v>183551.6705</v>
      </c>
      <c r="R479" s="172"/>
    </row>
    <row r="480" ht="14.25" customHeight="1" outlineLevel="1">
      <c r="A480" s="1"/>
      <c r="B480" s="163"/>
      <c r="C480" s="163"/>
      <c r="D480" s="164"/>
      <c r="E480" s="164">
        <v>377.0</v>
      </c>
      <c r="F480" s="165">
        <f t="shared" si="5"/>
        <v>555624.6484</v>
      </c>
      <c r="G480" s="166">
        <f t="shared" si="2"/>
        <v>319.4841729</v>
      </c>
      <c r="H480" s="167">
        <f t="shared" si="3"/>
        <v>36291.7871</v>
      </c>
      <c r="I480" s="168">
        <f t="shared" si="6"/>
        <v>42294.93051</v>
      </c>
      <c r="J480" s="1"/>
      <c r="K480" s="164"/>
      <c r="L480" s="164">
        <v>377.0</v>
      </c>
      <c r="M480" s="165">
        <f t="shared" si="7"/>
        <v>519332.8613</v>
      </c>
      <c r="N480" s="166">
        <f t="shared" si="8"/>
        <v>308.379782</v>
      </c>
      <c r="O480" s="169">
        <f t="shared" si="9"/>
        <v>46998.13686</v>
      </c>
      <c r="P480" s="170">
        <f t="shared" ref="P480:Q480" si="385">P479+$L$7</f>
        <v>184039.8398</v>
      </c>
      <c r="Q480" s="171">
        <f t="shared" si="385"/>
        <v>184039.8398</v>
      </c>
      <c r="R480" s="172"/>
    </row>
    <row r="481" ht="14.25" customHeight="1" outlineLevel="1">
      <c r="A481" s="1"/>
      <c r="B481" s="163"/>
      <c r="C481" s="163"/>
      <c r="D481" s="164"/>
      <c r="E481" s="164">
        <v>378.0</v>
      </c>
      <c r="F481" s="165">
        <f t="shared" si="5"/>
        <v>558935.8699</v>
      </c>
      <c r="G481" s="166">
        <f t="shared" si="2"/>
        <v>321.3881252</v>
      </c>
      <c r="H481" s="167">
        <f t="shared" si="3"/>
        <v>36485.81896</v>
      </c>
      <c r="I481" s="168">
        <f t="shared" si="6"/>
        <v>42616.31863</v>
      </c>
      <c r="J481" s="1"/>
      <c r="K481" s="164"/>
      <c r="L481" s="164">
        <v>378.0</v>
      </c>
      <c r="M481" s="165">
        <f t="shared" si="7"/>
        <v>522450.051</v>
      </c>
      <c r="N481" s="166">
        <f t="shared" si="8"/>
        <v>310.172166</v>
      </c>
      <c r="O481" s="169">
        <f t="shared" si="9"/>
        <v>47308.30903</v>
      </c>
      <c r="P481" s="170">
        <f t="shared" ref="P481:Q481" si="386">P480+$L$7</f>
        <v>184528.0091</v>
      </c>
      <c r="Q481" s="171">
        <f t="shared" si="386"/>
        <v>184528.0091</v>
      </c>
      <c r="R481" s="172"/>
    </row>
    <row r="482" ht="14.25" customHeight="1" outlineLevel="1">
      <c r="A482" s="1"/>
      <c r="B482" s="163"/>
      <c r="C482" s="163"/>
      <c r="D482" s="164"/>
      <c r="E482" s="164">
        <v>379.0</v>
      </c>
      <c r="F482" s="165">
        <f t="shared" si="5"/>
        <v>562263.8988</v>
      </c>
      <c r="G482" s="166">
        <f t="shared" si="2"/>
        <v>323.3017418</v>
      </c>
      <c r="H482" s="167">
        <f t="shared" si="3"/>
        <v>36680.83571</v>
      </c>
      <c r="I482" s="168">
        <f t="shared" si="6"/>
        <v>42939.62038</v>
      </c>
      <c r="J482" s="1"/>
      <c r="K482" s="164"/>
      <c r="L482" s="164">
        <v>379.0</v>
      </c>
      <c r="M482" s="165">
        <f t="shared" si="7"/>
        <v>525583.0631</v>
      </c>
      <c r="N482" s="166">
        <f t="shared" si="8"/>
        <v>311.973648</v>
      </c>
      <c r="O482" s="169">
        <f t="shared" si="9"/>
        <v>47620.28268</v>
      </c>
      <c r="P482" s="170">
        <f t="shared" ref="P482:Q482" si="387">P481+$L$7</f>
        <v>185016.1785</v>
      </c>
      <c r="Q482" s="171">
        <f t="shared" si="387"/>
        <v>185016.1785</v>
      </c>
      <c r="R482" s="172"/>
    </row>
    <row r="483" ht="14.25" customHeight="1" outlineLevel="1">
      <c r="A483" s="1"/>
      <c r="B483" s="163"/>
      <c r="C483" s="163"/>
      <c r="D483" s="164"/>
      <c r="E483" s="164">
        <v>380.0</v>
      </c>
      <c r="F483" s="165">
        <f t="shared" si="5"/>
        <v>565608.8204</v>
      </c>
      <c r="G483" s="166">
        <f t="shared" si="2"/>
        <v>325.2250717</v>
      </c>
      <c r="H483" s="167">
        <f t="shared" si="3"/>
        <v>36876.84234</v>
      </c>
      <c r="I483" s="168">
        <f t="shared" si="6"/>
        <v>43264.84545</v>
      </c>
      <c r="J483" s="1"/>
      <c r="K483" s="164"/>
      <c r="L483" s="164">
        <v>380.0</v>
      </c>
      <c r="M483" s="165">
        <f t="shared" si="7"/>
        <v>528731.9781</v>
      </c>
      <c r="N483" s="166">
        <f t="shared" si="8"/>
        <v>313.7842741</v>
      </c>
      <c r="O483" s="169">
        <f t="shared" si="9"/>
        <v>47934.06695</v>
      </c>
      <c r="P483" s="170">
        <f t="shared" ref="P483:Q483" si="388">P482+$L$7</f>
        <v>185504.3478</v>
      </c>
      <c r="Q483" s="171">
        <f t="shared" si="388"/>
        <v>185504.3478</v>
      </c>
      <c r="R483" s="172"/>
    </row>
    <row r="484" ht="14.25" customHeight="1" outlineLevel="1">
      <c r="A484" s="1"/>
      <c r="B484" s="163"/>
      <c r="C484" s="163"/>
      <c r="D484" s="164"/>
      <c r="E484" s="164">
        <v>381.0</v>
      </c>
      <c r="F484" s="165">
        <f t="shared" si="5"/>
        <v>568970.7205</v>
      </c>
      <c r="G484" s="166">
        <f t="shared" si="2"/>
        <v>327.1581643</v>
      </c>
      <c r="H484" s="167">
        <f t="shared" si="3"/>
        <v>37073.84389</v>
      </c>
      <c r="I484" s="168">
        <f t="shared" si="6"/>
        <v>43592.00361</v>
      </c>
      <c r="J484" s="1"/>
      <c r="K484" s="164"/>
      <c r="L484" s="164">
        <v>381.0</v>
      </c>
      <c r="M484" s="165">
        <f t="shared" si="7"/>
        <v>531896.8766</v>
      </c>
      <c r="N484" s="166">
        <f t="shared" si="8"/>
        <v>315.6040908</v>
      </c>
      <c r="O484" s="169">
        <f t="shared" si="9"/>
        <v>48249.67104</v>
      </c>
      <c r="P484" s="170">
        <f t="shared" ref="P484:Q484" si="389">P483+$L$7</f>
        <v>185992.5172</v>
      </c>
      <c r="Q484" s="171">
        <f t="shared" si="389"/>
        <v>185992.5172</v>
      </c>
      <c r="R484" s="172"/>
    </row>
    <row r="485" ht="14.25" customHeight="1" outlineLevel="1">
      <c r="A485" s="1"/>
      <c r="B485" s="163"/>
      <c r="C485" s="163"/>
      <c r="D485" s="164"/>
      <c r="E485" s="164">
        <v>382.0</v>
      </c>
      <c r="F485" s="165">
        <f t="shared" si="5"/>
        <v>572349.6852</v>
      </c>
      <c r="G485" s="166">
        <f t="shared" si="2"/>
        <v>329.101069</v>
      </c>
      <c r="H485" s="167">
        <f t="shared" si="3"/>
        <v>37271.84539</v>
      </c>
      <c r="I485" s="168">
        <f t="shared" si="6"/>
        <v>43921.10468</v>
      </c>
      <c r="J485" s="1"/>
      <c r="K485" s="164"/>
      <c r="L485" s="164">
        <v>382.0</v>
      </c>
      <c r="M485" s="165">
        <f t="shared" si="7"/>
        <v>535077.8398</v>
      </c>
      <c r="N485" s="166">
        <f t="shared" si="8"/>
        <v>317.4331446</v>
      </c>
      <c r="O485" s="169">
        <f t="shared" si="9"/>
        <v>48567.10418</v>
      </c>
      <c r="P485" s="170">
        <f t="shared" ref="P485:Q485" si="390">P484+$L$7</f>
        <v>186480.6865</v>
      </c>
      <c r="Q485" s="171">
        <f t="shared" si="390"/>
        <v>186480.6865</v>
      </c>
      <c r="R485" s="172"/>
    </row>
    <row r="486" ht="14.25" customHeight="1" outlineLevel="1">
      <c r="A486" s="1"/>
      <c r="B486" s="163"/>
      <c r="C486" s="163"/>
      <c r="D486" s="164"/>
      <c r="E486" s="164">
        <v>383.0</v>
      </c>
      <c r="F486" s="165">
        <f t="shared" si="5"/>
        <v>575745.8012</v>
      </c>
      <c r="G486" s="166">
        <f t="shared" si="2"/>
        <v>331.0538357</v>
      </c>
      <c r="H486" s="167">
        <f t="shared" si="3"/>
        <v>37470.85192</v>
      </c>
      <c r="I486" s="168">
        <f t="shared" si="6"/>
        <v>44252.15852</v>
      </c>
      <c r="J486" s="1"/>
      <c r="K486" s="164"/>
      <c r="L486" s="164">
        <v>383.0</v>
      </c>
      <c r="M486" s="165">
        <f t="shared" si="7"/>
        <v>538274.9493</v>
      </c>
      <c r="N486" s="166">
        <f t="shared" si="8"/>
        <v>319.2714826</v>
      </c>
      <c r="O486" s="169">
        <f t="shared" si="9"/>
        <v>48886.37567</v>
      </c>
      <c r="P486" s="170">
        <f t="shared" ref="P486:Q486" si="391">P485+$L$7</f>
        <v>186968.8558</v>
      </c>
      <c r="Q486" s="171">
        <f t="shared" si="391"/>
        <v>186968.8558</v>
      </c>
      <c r="R486" s="172"/>
    </row>
    <row r="487" ht="14.25" customHeight="1" outlineLevel="1">
      <c r="A487" s="1"/>
      <c r="B487" s="163"/>
      <c r="C487" s="163"/>
      <c r="D487" s="164">
        <v>32.0</v>
      </c>
      <c r="E487" s="164">
        <v>384.0</v>
      </c>
      <c r="F487" s="165">
        <f t="shared" si="5"/>
        <v>579159.1555</v>
      </c>
      <c r="G487" s="166">
        <f t="shared" si="2"/>
        <v>333.0165144</v>
      </c>
      <c r="H487" s="167">
        <f t="shared" si="3"/>
        <v>37670.8686</v>
      </c>
      <c r="I487" s="168">
        <f t="shared" si="6"/>
        <v>44585.17503</v>
      </c>
      <c r="J487" s="1"/>
      <c r="K487" s="164">
        <v>32.0</v>
      </c>
      <c r="L487" s="164">
        <v>384.0</v>
      </c>
      <c r="M487" s="165">
        <f t="shared" si="7"/>
        <v>541488.2869</v>
      </c>
      <c r="N487" s="166">
        <f t="shared" si="8"/>
        <v>321.1191517</v>
      </c>
      <c r="O487" s="169">
        <f t="shared" si="9"/>
        <v>49207.49482</v>
      </c>
      <c r="P487" s="170">
        <f t="shared" ref="P487:Q487" si="392">P486+$L$7</f>
        <v>187457.0252</v>
      </c>
      <c r="Q487" s="171">
        <f t="shared" si="392"/>
        <v>187457.0252</v>
      </c>
      <c r="R487" s="172"/>
    </row>
    <row r="488" ht="14.25" customHeight="1" outlineLevel="1">
      <c r="A488" s="1"/>
      <c r="B488" s="163"/>
      <c r="C488" s="163"/>
      <c r="D488" s="164"/>
      <c r="E488" s="164">
        <v>385.0</v>
      </c>
      <c r="F488" s="165">
        <f t="shared" si="5"/>
        <v>582589.8357</v>
      </c>
      <c r="G488" s="166">
        <f t="shared" si="2"/>
        <v>334.9891555</v>
      </c>
      <c r="H488" s="167">
        <f t="shared" si="3"/>
        <v>37871.90053</v>
      </c>
      <c r="I488" s="168">
        <f t="shared" si="6"/>
        <v>44920.16419</v>
      </c>
      <c r="J488" s="1"/>
      <c r="K488" s="164"/>
      <c r="L488" s="164">
        <v>385.0</v>
      </c>
      <c r="M488" s="165">
        <f t="shared" si="7"/>
        <v>544717.9352</v>
      </c>
      <c r="N488" s="166">
        <f t="shared" si="8"/>
        <v>322.9761994</v>
      </c>
      <c r="O488" s="169">
        <f t="shared" si="9"/>
        <v>49530.47102</v>
      </c>
      <c r="P488" s="170">
        <f t="shared" ref="P488:Q488" si="393">P487+$L$7</f>
        <v>187945.1945</v>
      </c>
      <c r="Q488" s="171">
        <f t="shared" si="393"/>
        <v>187945.1945</v>
      </c>
      <c r="R488" s="172"/>
    </row>
    <row r="489" ht="14.25" customHeight="1" outlineLevel="1">
      <c r="A489" s="1"/>
      <c r="B489" s="163"/>
      <c r="C489" s="163"/>
      <c r="D489" s="164"/>
      <c r="E489" s="164">
        <v>386.0</v>
      </c>
      <c r="F489" s="165">
        <f t="shared" si="5"/>
        <v>586037.9296</v>
      </c>
      <c r="G489" s="166">
        <f t="shared" si="2"/>
        <v>336.9718095</v>
      </c>
      <c r="H489" s="167">
        <f t="shared" si="3"/>
        <v>38073.95289</v>
      </c>
      <c r="I489" s="168">
        <f t="shared" si="6"/>
        <v>45257.136</v>
      </c>
      <c r="J489" s="1"/>
      <c r="K489" s="164"/>
      <c r="L489" s="164">
        <v>386.0</v>
      </c>
      <c r="M489" s="165">
        <f t="shared" si="7"/>
        <v>547963.9767</v>
      </c>
      <c r="N489" s="166">
        <f t="shared" si="8"/>
        <v>324.8426733</v>
      </c>
      <c r="O489" s="169">
        <f t="shared" si="9"/>
        <v>49855.31369</v>
      </c>
      <c r="P489" s="170">
        <f t="shared" ref="P489:Q489" si="394">P488+$L$7</f>
        <v>188433.3638</v>
      </c>
      <c r="Q489" s="171">
        <f t="shared" si="394"/>
        <v>188433.3638</v>
      </c>
      <c r="R489" s="172"/>
    </row>
    <row r="490" ht="14.25" customHeight="1" outlineLevel="1">
      <c r="A490" s="1"/>
      <c r="B490" s="163"/>
      <c r="C490" s="163"/>
      <c r="D490" s="164"/>
      <c r="E490" s="164">
        <v>387.0</v>
      </c>
      <c r="F490" s="165">
        <f t="shared" si="5"/>
        <v>589503.5257</v>
      </c>
      <c r="G490" s="166">
        <f t="shared" si="2"/>
        <v>338.9645273</v>
      </c>
      <c r="H490" s="167">
        <f t="shared" si="3"/>
        <v>38277.03083</v>
      </c>
      <c r="I490" s="168">
        <f t="shared" si="6"/>
        <v>45596.10052</v>
      </c>
      <c r="J490" s="1"/>
      <c r="K490" s="164"/>
      <c r="L490" s="164">
        <v>387.0</v>
      </c>
      <c r="M490" s="165">
        <f t="shared" si="7"/>
        <v>551226.4948</v>
      </c>
      <c r="N490" s="166">
        <f t="shared" si="8"/>
        <v>326.7186213</v>
      </c>
      <c r="O490" s="169">
        <f t="shared" si="9"/>
        <v>50182.03231</v>
      </c>
      <c r="P490" s="170">
        <f t="shared" ref="P490:Q490" si="395">P489+$L$7</f>
        <v>188921.5332</v>
      </c>
      <c r="Q490" s="171">
        <f t="shared" si="395"/>
        <v>188921.5332</v>
      </c>
      <c r="R490" s="172"/>
    </row>
    <row r="491" ht="14.25" customHeight="1" outlineLevel="1">
      <c r="A491" s="1"/>
      <c r="B491" s="163"/>
      <c r="C491" s="163"/>
      <c r="D491" s="164"/>
      <c r="E491" s="164">
        <v>388.0</v>
      </c>
      <c r="F491" s="165">
        <f t="shared" si="5"/>
        <v>592986.7128</v>
      </c>
      <c r="G491" s="166">
        <f t="shared" si="2"/>
        <v>340.9673598</v>
      </c>
      <c r="H491" s="167">
        <f t="shared" si="3"/>
        <v>38481.13959</v>
      </c>
      <c r="I491" s="168">
        <f t="shared" si="6"/>
        <v>45937.06788</v>
      </c>
      <c r="J491" s="1"/>
      <c r="K491" s="164"/>
      <c r="L491" s="164">
        <v>388.0</v>
      </c>
      <c r="M491" s="165">
        <f t="shared" si="7"/>
        <v>554505.5732</v>
      </c>
      <c r="N491" s="166">
        <f t="shared" si="8"/>
        <v>328.6040913</v>
      </c>
      <c r="O491" s="169">
        <f t="shared" si="9"/>
        <v>50510.6364</v>
      </c>
      <c r="P491" s="170">
        <f t="shared" ref="P491:Q491" si="396">P490+$L$7</f>
        <v>189409.7025</v>
      </c>
      <c r="Q491" s="171">
        <f t="shared" si="396"/>
        <v>189409.7025</v>
      </c>
      <c r="R491" s="172"/>
    </row>
    <row r="492" ht="14.25" customHeight="1" outlineLevel="1">
      <c r="A492" s="1"/>
      <c r="B492" s="163"/>
      <c r="C492" s="163"/>
      <c r="D492" s="164"/>
      <c r="E492" s="164">
        <v>389.0</v>
      </c>
      <c r="F492" s="165">
        <f t="shared" si="5"/>
        <v>596487.5801</v>
      </c>
      <c r="G492" s="166">
        <f t="shared" si="2"/>
        <v>342.9803586</v>
      </c>
      <c r="H492" s="167">
        <f t="shared" si="3"/>
        <v>38686.28437</v>
      </c>
      <c r="I492" s="168">
        <f t="shared" si="6"/>
        <v>46280.04824</v>
      </c>
      <c r="J492" s="1"/>
      <c r="K492" s="164"/>
      <c r="L492" s="164">
        <v>389.0</v>
      </c>
      <c r="M492" s="165">
        <f t="shared" si="7"/>
        <v>557801.2957</v>
      </c>
      <c r="N492" s="166">
        <f t="shared" si="8"/>
        <v>330.4991318</v>
      </c>
      <c r="O492" s="169">
        <f t="shared" si="9"/>
        <v>50841.13554</v>
      </c>
      <c r="P492" s="170">
        <f t="shared" ref="P492:Q492" si="397">P491+$L$7</f>
        <v>189897.8718</v>
      </c>
      <c r="Q492" s="171">
        <f t="shared" si="397"/>
        <v>189897.8718</v>
      </c>
      <c r="R492" s="172"/>
    </row>
    <row r="493" ht="14.25" customHeight="1" outlineLevel="1">
      <c r="A493" s="1"/>
      <c r="B493" s="163"/>
      <c r="C493" s="163"/>
      <c r="D493" s="164"/>
      <c r="E493" s="164">
        <v>390.0</v>
      </c>
      <c r="F493" s="165">
        <f t="shared" si="5"/>
        <v>600006.2175</v>
      </c>
      <c r="G493" s="166">
        <f t="shared" si="2"/>
        <v>345.0035751</v>
      </c>
      <c r="H493" s="167">
        <f t="shared" si="3"/>
        <v>38892.47045</v>
      </c>
      <c r="I493" s="168">
        <f t="shared" si="6"/>
        <v>46625.05182</v>
      </c>
      <c r="J493" s="1"/>
      <c r="K493" s="164"/>
      <c r="L493" s="164">
        <v>390.0</v>
      </c>
      <c r="M493" s="165">
        <f t="shared" si="7"/>
        <v>561113.7471</v>
      </c>
      <c r="N493" s="166">
        <f t="shared" si="8"/>
        <v>332.4037913</v>
      </c>
      <c r="O493" s="169">
        <f t="shared" si="9"/>
        <v>51173.53933</v>
      </c>
      <c r="P493" s="170">
        <f t="shared" ref="P493:Q493" si="398">P492+$L$7</f>
        <v>190386.0412</v>
      </c>
      <c r="Q493" s="171">
        <f t="shared" si="398"/>
        <v>190386.0412</v>
      </c>
      <c r="R493" s="172"/>
    </row>
    <row r="494" ht="14.25" customHeight="1" outlineLevel="1">
      <c r="A494" s="1"/>
      <c r="B494" s="163"/>
      <c r="C494" s="163"/>
      <c r="D494" s="164"/>
      <c r="E494" s="164">
        <v>391.0</v>
      </c>
      <c r="F494" s="165">
        <f t="shared" si="5"/>
        <v>603542.7151</v>
      </c>
      <c r="G494" s="166">
        <f t="shared" si="2"/>
        <v>347.0370612</v>
      </c>
      <c r="H494" s="167">
        <f t="shared" si="3"/>
        <v>39099.70311</v>
      </c>
      <c r="I494" s="168">
        <f t="shared" si="6"/>
        <v>46972.08888</v>
      </c>
      <c r="J494" s="1"/>
      <c r="K494" s="164"/>
      <c r="L494" s="164">
        <v>391.0</v>
      </c>
      <c r="M494" s="165">
        <f t="shared" si="7"/>
        <v>564443.012</v>
      </c>
      <c r="N494" s="166">
        <f t="shared" si="8"/>
        <v>334.3181186</v>
      </c>
      <c r="O494" s="169">
        <f t="shared" si="9"/>
        <v>51507.85745</v>
      </c>
      <c r="P494" s="170">
        <f t="shared" ref="P494:Q494" si="399">P493+$L$7</f>
        <v>190874.2105</v>
      </c>
      <c r="Q494" s="171">
        <f t="shared" si="399"/>
        <v>190874.2105</v>
      </c>
      <c r="R494" s="172"/>
    </row>
    <row r="495" ht="14.25" customHeight="1" outlineLevel="1">
      <c r="A495" s="1"/>
      <c r="B495" s="163"/>
      <c r="C495" s="163"/>
      <c r="D495" s="164"/>
      <c r="E495" s="164">
        <v>392.0</v>
      </c>
      <c r="F495" s="165">
        <f t="shared" si="5"/>
        <v>607097.1637</v>
      </c>
      <c r="G495" s="166">
        <f t="shared" si="2"/>
        <v>349.0808691</v>
      </c>
      <c r="H495" s="167">
        <f t="shared" si="3"/>
        <v>39307.98766</v>
      </c>
      <c r="I495" s="168">
        <f t="shared" si="6"/>
        <v>47321.16975</v>
      </c>
      <c r="J495" s="1"/>
      <c r="K495" s="164"/>
      <c r="L495" s="164">
        <v>392.0</v>
      </c>
      <c r="M495" s="165">
        <f t="shared" si="7"/>
        <v>567789.176</v>
      </c>
      <c r="N495" s="166">
        <f t="shared" si="8"/>
        <v>336.2421629</v>
      </c>
      <c r="O495" s="169">
        <f t="shared" si="9"/>
        <v>51844.09961</v>
      </c>
      <c r="P495" s="170">
        <f t="shared" ref="P495:Q495" si="400">P494+$L$7</f>
        <v>191362.3799</v>
      </c>
      <c r="Q495" s="171">
        <f t="shared" si="400"/>
        <v>191362.3799</v>
      </c>
      <c r="R495" s="172"/>
    </row>
    <row r="496" ht="14.25" customHeight="1" outlineLevel="1">
      <c r="A496" s="1"/>
      <c r="B496" s="163"/>
      <c r="C496" s="163"/>
      <c r="D496" s="164"/>
      <c r="E496" s="164">
        <v>393.0</v>
      </c>
      <c r="F496" s="165">
        <f t="shared" si="5"/>
        <v>610669.6542</v>
      </c>
      <c r="G496" s="166">
        <f t="shared" si="2"/>
        <v>351.1350512</v>
      </c>
      <c r="H496" s="167">
        <f t="shared" si="3"/>
        <v>39517.32944</v>
      </c>
      <c r="I496" s="168">
        <f t="shared" si="6"/>
        <v>47672.3048</v>
      </c>
      <c r="J496" s="1"/>
      <c r="K496" s="164"/>
      <c r="L496" s="164">
        <v>393.0</v>
      </c>
      <c r="M496" s="165">
        <f t="shared" si="7"/>
        <v>571152.3247</v>
      </c>
      <c r="N496" s="166">
        <f t="shared" si="8"/>
        <v>338.1759735</v>
      </c>
      <c r="O496" s="169">
        <f t="shared" si="9"/>
        <v>52182.27558</v>
      </c>
      <c r="P496" s="170">
        <f t="shared" ref="P496:Q496" si="401">P495+$L$7</f>
        <v>191850.5492</v>
      </c>
      <c r="Q496" s="171">
        <f t="shared" si="401"/>
        <v>191850.5492</v>
      </c>
      <c r="R496" s="172"/>
    </row>
    <row r="497" ht="14.25" customHeight="1" outlineLevel="1">
      <c r="A497" s="1"/>
      <c r="B497" s="163"/>
      <c r="C497" s="163"/>
      <c r="D497" s="164"/>
      <c r="E497" s="164">
        <v>394.0</v>
      </c>
      <c r="F497" s="165">
        <f t="shared" si="5"/>
        <v>614260.2783</v>
      </c>
      <c r="G497" s="166">
        <f t="shared" si="2"/>
        <v>353.19966</v>
      </c>
      <c r="H497" s="167">
        <f t="shared" si="3"/>
        <v>39727.73381</v>
      </c>
      <c r="I497" s="168">
        <f t="shared" si="6"/>
        <v>48025.50446</v>
      </c>
      <c r="J497" s="1"/>
      <c r="K497" s="164"/>
      <c r="L497" s="164">
        <v>394.0</v>
      </c>
      <c r="M497" s="165">
        <f t="shared" si="7"/>
        <v>574532.5445</v>
      </c>
      <c r="N497" s="166">
        <f t="shared" si="8"/>
        <v>340.1195998</v>
      </c>
      <c r="O497" s="169">
        <f t="shared" si="9"/>
        <v>52522.39518</v>
      </c>
      <c r="P497" s="170">
        <f t="shared" ref="P497:Q497" si="402">P496+$L$7</f>
        <v>192338.7185</v>
      </c>
      <c r="Q497" s="171">
        <f t="shared" si="402"/>
        <v>192338.7185</v>
      </c>
      <c r="R497" s="172"/>
    </row>
    <row r="498" ht="14.25" customHeight="1" outlineLevel="1">
      <c r="A498" s="1"/>
      <c r="B498" s="163"/>
      <c r="C498" s="163"/>
      <c r="D498" s="164"/>
      <c r="E498" s="164">
        <v>395.0</v>
      </c>
      <c r="F498" s="165">
        <f t="shared" si="5"/>
        <v>617869.128</v>
      </c>
      <c r="G498" s="166">
        <f t="shared" si="2"/>
        <v>355.2747486</v>
      </c>
      <c r="H498" s="167">
        <f t="shared" si="3"/>
        <v>39939.20618</v>
      </c>
      <c r="I498" s="168">
        <f t="shared" si="6"/>
        <v>48380.77921</v>
      </c>
      <c r="J498" s="1"/>
      <c r="K498" s="164"/>
      <c r="L498" s="164">
        <v>395.0</v>
      </c>
      <c r="M498" s="165">
        <f t="shared" si="7"/>
        <v>577929.9218</v>
      </c>
      <c r="N498" s="166">
        <f t="shared" si="8"/>
        <v>342.0730918</v>
      </c>
      <c r="O498" s="169">
        <f t="shared" si="9"/>
        <v>52864.46827</v>
      </c>
      <c r="P498" s="170">
        <f t="shared" ref="P498:Q498" si="403">P497+$L$7</f>
        <v>192826.8879</v>
      </c>
      <c r="Q498" s="171">
        <f t="shared" si="403"/>
        <v>192826.8879</v>
      </c>
      <c r="R498" s="172"/>
    </row>
    <row r="499" ht="14.25" customHeight="1" outlineLevel="1">
      <c r="A499" s="1"/>
      <c r="B499" s="163"/>
      <c r="C499" s="163"/>
      <c r="D499" s="164">
        <v>33.0</v>
      </c>
      <c r="E499" s="164">
        <v>396.0</v>
      </c>
      <c r="F499" s="165">
        <f t="shared" si="5"/>
        <v>621496.2959</v>
      </c>
      <c r="G499" s="166">
        <f t="shared" si="2"/>
        <v>357.3603701</v>
      </c>
      <c r="H499" s="167">
        <f t="shared" si="3"/>
        <v>40151.75195</v>
      </c>
      <c r="I499" s="168">
        <f t="shared" si="6"/>
        <v>48738.13958</v>
      </c>
      <c r="J499" s="1"/>
      <c r="K499" s="164">
        <v>33.0</v>
      </c>
      <c r="L499" s="164">
        <v>396.0</v>
      </c>
      <c r="M499" s="165">
        <f t="shared" si="7"/>
        <v>581344.5439</v>
      </c>
      <c r="N499" s="166">
        <f t="shared" si="8"/>
        <v>344.0364995</v>
      </c>
      <c r="O499" s="169">
        <f t="shared" si="9"/>
        <v>53208.50477</v>
      </c>
      <c r="P499" s="170">
        <f t="shared" ref="P499:Q499" si="404">P498+$L$7</f>
        <v>193315.0572</v>
      </c>
      <c r="Q499" s="171">
        <f t="shared" si="404"/>
        <v>193315.0572</v>
      </c>
      <c r="R499" s="172"/>
    </row>
    <row r="500" ht="14.25" customHeight="1" outlineLevel="1">
      <c r="A500" s="1"/>
      <c r="B500" s="163"/>
      <c r="C500" s="163"/>
      <c r="D500" s="164"/>
      <c r="E500" s="164">
        <v>397.0</v>
      </c>
      <c r="F500" s="165">
        <f t="shared" si="5"/>
        <v>625141.8749</v>
      </c>
      <c r="G500" s="166">
        <f t="shared" si="2"/>
        <v>359.4565781</v>
      </c>
      <c r="H500" s="167">
        <f t="shared" si="3"/>
        <v>40365.37659</v>
      </c>
      <c r="I500" s="168">
        <f t="shared" si="6"/>
        <v>49097.59616</v>
      </c>
      <c r="J500" s="1"/>
      <c r="K500" s="164"/>
      <c r="L500" s="164">
        <v>397.0</v>
      </c>
      <c r="M500" s="165">
        <f t="shared" si="7"/>
        <v>584776.4983</v>
      </c>
      <c r="N500" s="166">
        <f t="shared" si="8"/>
        <v>346.0098732</v>
      </c>
      <c r="O500" s="169">
        <f t="shared" si="9"/>
        <v>53554.51465</v>
      </c>
      <c r="P500" s="170">
        <f t="shared" ref="P500:Q500" si="405">P499+$L$7</f>
        <v>193803.2265</v>
      </c>
      <c r="Q500" s="171">
        <f t="shared" si="405"/>
        <v>193803.2265</v>
      </c>
      <c r="R500" s="172"/>
    </row>
    <row r="501" ht="14.25" customHeight="1" outlineLevel="1">
      <c r="A501" s="1"/>
      <c r="B501" s="163"/>
      <c r="C501" s="163"/>
      <c r="D501" s="164"/>
      <c r="E501" s="164">
        <v>398.0</v>
      </c>
      <c r="F501" s="165">
        <f t="shared" si="5"/>
        <v>628805.9585</v>
      </c>
      <c r="G501" s="166">
        <f t="shared" si="2"/>
        <v>361.5634261</v>
      </c>
      <c r="H501" s="167">
        <f t="shared" si="3"/>
        <v>40580.08557</v>
      </c>
      <c r="I501" s="168">
        <f t="shared" si="6"/>
        <v>49459.15958</v>
      </c>
      <c r="J501" s="1"/>
      <c r="K501" s="164"/>
      <c r="L501" s="164">
        <v>398.0</v>
      </c>
      <c r="M501" s="165">
        <f t="shared" si="7"/>
        <v>588225.8729</v>
      </c>
      <c r="N501" s="166">
        <f t="shared" si="8"/>
        <v>347.9932636</v>
      </c>
      <c r="O501" s="169">
        <f t="shared" si="9"/>
        <v>53902.50791</v>
      </c>
      <c r="P501" s="170">
        <f t="shared" ref="P501:Q501" si="406">P500+$L$7</f>
        <v>194291.3959</v>
      </c>
      <c r="Q501" s="171">
        <f t="shared" si="406"/>
        <v>194291.3959</v>
      </c>
      <c r="R501" s="172"/>
    </row>
    <row r="502" ht="14.25" customHeight="1" outlineLevel="1">
      <c r="A502" s="1"/>
      <c r="B502" s="163"/>
      <c r="C502" s="163"/>
      <c r="D502" s="164"/>
      <c r="E502" s="164">
        <v>399.0</v>
      </c>
      <c r="F502" s="165">
        <f t="shared" si="5"/>
        <v>632488.6405</v>
      </c>
      <c r="G502" s="166">
        <f t="shared" si="2"/>
        <v>363.6809683</v>
      </c>
      <c r="H502" s="167">
        <f t="shared" si="3"/>
        <v>40795.88438</v>
      </c>
      <c r="I502" s="168">
        <f t="shared" si="6"/>
        <v>49822.84055</v>
      </c>
      <c r="J502" s="1"/>
      <c r="K502" s="164"/>
      <c r="L502" s="164">
        <v>399.0</v>
      </c>
      <c r="M502" s="165">
        <f t="shared" si="7"/>
        <v>591692.7561</v>
      </c>
      <c r="N502" s="166">
        <f t="shared" si="8"/>
        <v>349.9867215</v>
      </c>
      <c r="O502" s="169">
        <f t="shared" si="9"/>
        <v>54252.49463</v>
      </c>
      <c r="P502" s="170">
        <f t="shared" ref="P502:Q502" si="407">P501+$L$7</f>
        <v>194779.5652</v>
      </c>
      <c r="Q502" s="171">
        <f t="shared" si="407"/>
        <v>194779.5652</v>
      </c>
      <c r="R502" s="172"/>
    </row>
    <row r="503" ht="14.25" customHeight="1" outlineLevel="1">
      <c r="A503" s="1"/>
      <c r="B503" s="163"/>
      <c r="C503" s="163"/>
      <c r="D503" s="164"/>
      <c r="E503" s="164">
        <v>400.0</v>
      </c>
      <c r="F503" s="165">
        <f t="shared" si="5"/>
        <v>636190.0155</v>
      </c>
      <c r="G503" s="166">
        <f t="shared" si="2"/>
        <v>365.8092589</v>
      </c>
      <c r="H503" s="167">
        <f t="shared" si="3"/>
        <v>41012.77856</v>
      </c>
      <c r="I503" s="168">
        <f t="shared" si="6"/>
        <v>50188.64981</v>
      </c>
      <c r="J503" s="1"/>
      <c r="K503" s="164"/>
      <c r="L503" s="164">
        <v>400.0</v>
      </c>
      <c r="M503" s="165">
        <f t="shared" si="7"/>
        <v>595177.2369</v>
      </c>
      <c r="N503" s="166">
        <f t="shared" si="8"/>
        <v>351.990298</v>
      </c>
      <c r="O503" s="169">
        <f t="shared" si="9"/>
        <v>54604.48493</v>
      </c>
      <c r="P503" s="170">
        <f t="shared" ref="P503:Q503" si="408">P502+$L$7</f>
        <v>195267.7345</v>
      </c>
      <c r="Q503" s="171">
        <f t="shared" si="408"/>
        <v>195267.7345</v>
      </c>
      <c r="R503" s="172"/>
    </row>
    <row r="504" ht="14.25" customHeight="1" outlineLevel="1">
      <c r="A504" s="1"/>
      <c r="B504" s="163"/>
      <c r="C504" s="163"/>
      <c r="D504" s="164"/>
      <c r="E504" s="164">
        <v>401.0</v>
      </c>
      <c r="F504" s="165">
        <f t="shared" si="5"/>
        <v>639910.1783</v>
      </c>
      <c r="G504" s="166">
        <f t="shared" si="2"/>
        <v>367.9483525</v>
      </c>
      <c r="H504" s="167">
        <f t="shared" si="3"/>
        <v>41230.77368</v>
      </c>
      <c r="I504" s="168">
        <f t="shared" si="6"/>
        <v>50556.59816</v>
      </c>
      <c r="J504" s="1"/>
      <c r="K504" s="164"/>
      <c r="L504" s="164">
        <v>401.0</v>
      </c>
      <c r="M504" s="165">
        <f t="shared" si="7"/>
        <v>598679.4046</v>
      </c>
      <c r="N504" s="166">
        <f t="shared" si="8"/>
        <v>354.0040444</v>
      </c>
      <c r="O504" s="169">
        <f t="shared" si="9"/>
        <v>54958.48897</v>
      </c>
      <c r="P504" s="170">
        <f t="shared" ref="P504:Q504" si="409">P503+$L$7</f>
        <v>195755.9039</v>
      </c>
      <c r="Q504" s="171">
        <f t="shared" si="409"/>
        <v>195755.9039</v>
      </c>
      <c r="R504" s="172"/>
    </row>
    <row r="505" ht="14.25" customHeight="1" outlineLevel="1">
      <c r="A505" s="1"/>
      <c r="B505" s="163"/>
      <c r="C505" s="163"/>
      <c r="D505" s="164"/>
      <c r="E505" s="164">
        <v>402.0</v>
      </c>
      <c r="F505" s="165">
        <f t="shared" si="5"/>
        <v>643649.2242</v>
      </c>
      <c r="G505" s="166">
        <f t="shared" si="2"/>
        <v>370.0983039</v>
      </c>
      <c r="H505" s="167">
        <f t="shared" si="3"/>
        <v>41449.87532</v>
      </c>
      <c r="I505" s="168">
        <f t="shared" si="6"/>
        <v>50926.69647</v>
      </c>
      <c r="J505" s="1"/>
      <c r="K505" s="164"/>
      <c r="L505" s="164">
        <v>402.0</v>
      </c>
      <c r="M505" s="165">
        <f t="shared" si="7"/>
        <v>602199.3489</v>
      </c>
      <c r="N505" s="166">
        <f t="shared" si="8"/>
        <v>356.0280123</v>
      </c>
      <c r="O505" s="169">
        <f t="shared" si="9"/>
        <v>55314.51699</v>
      </c>
      <c r="P505" s="170">
        <f t="shared" ref="P505:Q505" si="410">P504+$L$7</f>
        <v>196244.0732</v>
      </c>
      <c r="Q505" s="171">
        <f t="shared" si="410"/>
        <v>196244.0732</v>
      </c>
      <c r="R505" s="172"/>
    </row>
    <row r="506" ht="14.25" customHeight="1" outlineLevel="1">
      <c r="A506" s="1"/>
      <c r="B506" s="163"/>
      <c r="C506" s="163"/>
      <c r="D506" s="164"/>
      <c r="E506" s="164">
        <v>403.0</v>
      </c>
      <c r="F506" s="165">
        <f t="shared" si="5"/>
        <v>647407.2491</v>
      </c>
      <c r="G506" s="166">
        <f t="shared" si="2"/>
        <v>372.2591682</v>
      </c>
      <c r="H506" s="167">
        <f t="shared" si="3"/>
        <v>41670.08909</v>
      </c>
      <c r="I506" s="168">
        <f t="shared" si="6"/>
        <v>51298.95563</v>
      </c>
      <c r="J506" s="1"/>
      <c r="K506" s="164"/>
      <c r="L506" s="164">
        <v>403.0</v>
      </c>
      <c r="M506" s="165">
        <f t="shared" si="7"/>
        <v>605737.16</v>
      </c>
      <c r="N506" s="166">
        <f t="shared" si="8"/>
        <v>358.0622537</v>
      </c>
      <c r="O506" s="169">
        <f t="shared" si="9"/>
        <v>55672.57924</v>
      </c>
      <c r="P506" s="170">
        <f t="shared" ref="P506:Q506" si="411">P505+$L$7</f>
        <v>196732.2426</v>
      </c>
      <c r="Q506" s="171">
        <f t="shared" si="411"/>
        <v>196732.2426</v>
      </c>
      <c r="R506" s="172"/>
    </row>
    <row r="507" ht="14.25" customHeight="1" outlineLevel="1">
      <c r="A507" s="1"/>
      <c r="B507" s="163"/>
      <c r="C507" s="163"/>
      <c r="D507" s="164"/>
      <c r="E507" s="164">
        <v>404.0</v>
      </c>
      <c r="F507" s="165">
        <f t="shared" si="5"/>
        <v>651184.3493</v>
      </c>
      <c r="G507" s="166">
        <f t="shared" si="2"/>
        <v>374.4310009</v>
      </c>
      <c r="H507" s="167">
        <f t="shared" si="3"/>
        <v>41891.42065</v>
      </c>
      <c r="I507" s="168">
        <f t="shared" si="6"/>
        <v>51673.38663</v>
      </c>
      <c r="J507" s="1"/>
      <c r="K507" s="164"/>
      <c r="L507" s="164">
        <v>404.0</v>
      </c>
      <c r="M507" s="165">
        <f t="shared" si="7"/>
        <v>609292.9287</v>
      </c>
      <c r="N507" s="166">
        <f t="shared" si="8"/>
        <v>360.1068207</v>
      </c>
      <c r="O507" s="169">
        <f t="shared" si="9"/>
        <v>56032.68606</v>
      </c>
      <c r="P507" s="170">
        <f t="shared" ref="P507:Q507" si="412">P506+$L$7</f>
        <v>197220.4119</v>
      </c>
      <c r="Q507" s="171">
        <f t="shared" si="412"/>
        <v>197220.4119</v>
      </c>
      <c r="R507" s="172"/>
    </row>
    <row r="508" ht="14.25" customHeight="1" outlineLevel="1">
      <c r="A508" s="1"/>
      <c r="B508" s="163"/>
      <c r="C508" s="163"/>
      <c r="D508" s="164"/>
      <c r="E508" s="164">
        <v>405.0</v>
      </c>
      <c r="F508" s="165">
        <f t="shared" si="5"/>
        <v>654980.6218</v>
      </c>
      <c r="G508" s="166">
        <f t="shared" si="2"/>
        <v>376.6138575</v>
      </c>
      <c r="H508" s="167">
        <f t="shared" si="3"/>
        <v>42113.87566</v>
      </c>
      <c r="I508" s="168">
        <f t="shared" si="6"/>
        <v>52050.00049</v>
      </c>
      <c r="J508" s="1"/>
      <c r="K508" s="164"/>
      <c r="L508" s="164">
        <v>405.0</v>
      </c>
      <c r="M508" s="165">
        <f t="shared" si="7"/>
        <v>612866.7461</v>
      </c>
      <c r="N508" s="166">
        <f t="shared" si="8"/>
        <v>362.1617657</v>
      </c>
      <c r="O508" s="169">
        <f t="shared" si="9"/>
        <v>56394.84783</v>
      </c>
      <c r="P508" s="170">
        <f t="shared" ref="P508:Q508" si="413">P507+$L$7</f>
        <v>197708.5812</v>
      </c>
      <c r="Q508" s="171">
        <f t="shared" si="413"/>
        <v>197708.5812</v>
      </c>
      <c r="R508" s="172"/>
    </row>
    <row r="509" ht="14.25" customHeight="1" outlineLevel="1">
      <c r="A509" s="1"/>
      <c r="B509" s="163"/>
      <c r="C509" s="163"/>
      <c r="D509" s="164"/>
      <c r="E509" s="164">
        <v>406.0</v>
      </c>
      <c r="F509" s="165">
        <f t="shared" si="5"/>
        <v>658796.1636</v>
      </c>
      <c r="G509" s="166">
        <f t="shared" si="2"/>
        <v>378.8077941</v>
      </c>
      <c r="H509" s="167">
        <f t="shared" si="3"/>
        <v>42337.45983</v>
      </c>
      <c r="I509" s="168">
        <f t="shared" si="6"/>
        <v>52428.80829</v>
      </c>
      <c r="J509" s="1"/>
      <c r="K509" s="164"/>
      <c r="L509" s="164">
        <v>406.0</v>
      </c>
      <c r="M509" s="165">
        <f t="shared" si="7"/>
        <v>616458.7038</v>
      </c>
      <c r="N509" s="166">
        <f t="shared" si="8"/>
        <v>364.2271414</v>
      </c>
      <c r="O509" s="169">
        <f t="shared" si="9"/>
        <v>56759.07497</v>
      </c>
      <c r="P509" s="170">
        <f t="shared" ref="P509:Q509" si="414">P508+$L$7</f>
        <v>198196.7506</v>
      </c>
      <c r="Q509" s="171">
        <f t="shared" si="414"/>
        <v>198196.7506</v>
      </c>
      <c r="R509" s="172"/>
    </row>
    <row r="510" ht="14.25" customHeight="1" outlineLevel="1">
      <c r="A510" s="1"/>
      <c r="B510" s="163"/>
      <c r="C510" s="163"/>
      <c r="D510" s="164"/>
      <c r="E510" s="164">
        <v>407.0</v>
      </c>
      <c r="F510" s="165">
        <f t="shared" si="5"/>
        <v>662631.0728</v>
      </c>
      <c r="G510" s="166">
        <f t="shared" si="2"/>
        <v>381.0128669</v>
      </c>
      <c r="H510" s="167">
        <f t="shared" si="3"/>
        <v>42562.17889</v>
      </c>
      <c r="I510" s="168">
        <f t="shared" si="6"/>
        <v>52809.82115</v>
      </c>
      <c r="J510" s="1"/>
      <c r="K510" s="164"/>
      <c r="L510" s="164">
        <v>407.0</v>
      </c>
      <c r="M510" s="165">
        <f t="shared" si="7"/>
        <v>620068.8939</v>
      </c>
      <c r="N510" s="166">
        <f t="shared" si="8"/>
        <v>366.3030007</v>
      </c>
      <c r="O510" s="169">
        <f t="shared" si="9"/>
        <v>57125.37797</v>
      </c>
      <c r="P510" s="170">
        <f t="shared" ref="P510:Q510" si="415">P509+$L$7</f>
        <v>198684.9199</v>
      </c>
      <c r="Q510" s="171">
        <f t="shared" si="415"/>
        <v>198684.9199</v>
      </c>
      <c r="R510" s="172"/>
    </row>
    <row r="511" ht="14.25" customHeight="1" outlineLevel="1">
      <c r="A511" s="1"/>
      <c r="B511" s="163"/>
      <c r="C511" s="163"/>
      <c r="D511" s="164">
        <v>34.0</v>
      </c>
      <c r="E511" s="164">
        <v>408.0</v>
      </c>
      <c r="F511" s="165">
        <f t="shared" si="5"/>
        <v>666485.4476</v>
      </c>
      <c r="G511" s="166">
        <f t="shared" si="2"/>
        <v>383.2291324</v>
      </c>
      <c r="H511" s="167">
        <f t="shared" si="3"/>
        <v>42788.0386</v>
      </c>
      <c r="I511" s="168">
        <f t="shared" si="6"/>
        <v>53193.05029</v>
      </c>
      <c r="J511" s="1"/>
      <c r="K511" s="164">
        <v>34.0</v>
      </c>
      <c r="L511" s="164">
        <v>408.0</v>
      </c>
      <c r="M511" s="165">
        <f t="shared" si="7"/>
        <v>623697.409</v>
      </c>
      <c r="N511" s="166">
        <f t="shared" si="8"/>
        <v>368.3893969</v>
      </c>
      <c r="O511" s="169">
        <f t="shared" si="9"/>
        <v>57493.76737</v>
      </c>
      <c r="P511" s="170">
        <f t="shared" ref="P511:Q511" si="416">P510+$L$7</f>
        <v>199173.0892</v>
      </c>
      <c r="Q511" s="171">
        <f t="shared" si="416"/>
        <v>199173.0892</v>
      </c>
      <c r="R511" s="172"/>
    </row>
    <row r="512" ht="14.25" customHeight="1" outlineLevel="1">
      <c r="A512" s="1"/>
      <c r="B512" s="163"/>
      <c r="C512" s="163"/>
      <c r="D512" s="164"/>
      <c r="E512" s="164">
        <v>409.0</v>
      </c>
      <c r="F512" s="165">
        <f t="shared" si="5"/>
        <v>670359.3868</v>
      </c>
      <c r="G512" s="166">
        <f t="shared" si="2"/>
        <v>385.4566474</v>
      </c>
      <c r="H512" s="167">
        <f t="shared" si="3"/>
        <v>43015.04475</v>
      </c>
      <c r="I512" s="168">
        <f t="shared" si="6"/>
        <v>53578.50693</v>
      </c>
      <c r="J512" s="1"/>
      <c r="K512" s="164"/>
      <c r="L512" s="164">
        <v>409.0</v>
      </c>
      <c r="M512" s="165">
        <f t="shared" si="7"/>
        <v>627344.342</v>
      </c>
      <c r="N512" s="166">
        <f t="shared" si="8"/>
        <v>370.4863834</v>
      </c>
      <c r="O512" s="169">
        <f t="shared" si="9"/>
        <v>57864.25375</v>
      </c>
      <c r="P512" s="170">
        <f t="shared" ref="P512:Q512" si="417">P511+$L$7</f>
        <v>199661.2586</v>
      </c>
      <c r="Q512" s="171">
        <f t="shared" si="417"/>
        <v>199661.2586</v>
      </c>
      <c r="R512" s="172"/>
    </row>
    <row r="513" ht="14.25" customHeight="1" outlineLevel="1">
      <c r="A513" s="1"/>
      <c r="B513" s="163"/>
      <c r="C513" s="163"/>
      <c r="D513" s="164"/>
      <c r="E513" s="164">
        <v>410.0</v>
      </c>
      <c r="F513" s="165">
        <f t="shared" si="5"/>
        <v>674252.9896</v>
      </c>
      <c r="G513" s="166">
        <f t="shared" si="2"/>
        <v>387.695469</v>
      </c>
      <c r="H513" s="167">
        <f t="shared" si="3"/>
        <v>43243.20316</v>
      </c>
      <c r="I513" s="168">
        <f t="shared" si="6"/>
        <v>53966.2024</v>
      </c>
      <c r="J513" s="1"/>
      <c r="K513" s="164"/>
      <c r="L513" s="164">
        <v>410.0</v>
      </c>
      <c r="M513" s="165">
        <f t="shared" si="7"/>
        <v>631009.7865</v>
      </c>
      <c r="N513" s="166">
        <f t="shared" si="8"/>
        <v>372.594014</v>
      </c>
      <c r="O513" s="169">
        <f t="shared" si="9"/>
        <v>58236.84776</v>
      </c>
      <c r="P513" s="170">
        <f t="shared" ref="P513:Q513" si="418">P512+$L$7</f>
        <v>200149.4279</v>
      </c>
      <c r="Q513" s="171">
        <f t="shared" si="418"/>
        <v>200149.4279</v>
      </c>
      <c r="R513" s="172"/>
    </row>
    <row r="514" ht="14.25" customHeight="1" outlineLevel="1">
      <c r="A514" s="1"/>
      <c r="B514" s="163"/>
      <c r="C514" s="163"/>
      <c r="D514" s="164"/>
      <c r="E514" s="164">
        <v>411.0</v>
      </c>
      <c r="F514" s="165">
        <f t="shared" si="5"/>
        <v>678166.356</v>
      </c>
      <c r="G514" s="166">
        <f t="shared" si="2"/>
        <v>389.9456547</v>
      </c>
      <c r="H514" s="167">
        <f t="shared" si="3"/>
        <v>43472.51968</v>
      </c>
      <c r="I514" s="168">
        <f t="shared" si="6"/>
        <v>54356.14806</v>
      </c>
      <c r="J514" s="1"/>
      <c r="K514" s="164"/>
      <c r="L514" s="164">
        <v>411.0</v>
      </c>
      <c r="M514" s="165">
        <f t="shared" si="7"/>
        <v>634693.8364</v>
      </c>
      <c r="N514" s="166">
        <f t="shared" si="8"/>
        <v>374.7123426</v>
      </c>
      <c r="O514" s="169">
        <f t="shared" si="9"/>
        <v>58611.56011</v>
      </c>
      <c r="P514" s="170">
        <f t="shared" ref="P514:Q514" si="419">P513+$L$7</f>
        <v>200637.5972</v>
      </c>
      <c r="Q514" s="171">
        <f t="shared" si="419"/>
        <v>200637.5972</v>
      </c>
      <c r="R514" s="172"/>
    </row>
    <row r="515" ht="14.25" customHeight="1" outlineLevel="1">
      <c r="A515" s="1"/>
      <c r="B515" s="163"/>
      <c r="C515" s="163"/>
      <c r="D515" s="164"/>
      <c r="E515" s="164">
        <v>412.0</v>
      </c>
      <c r="F515" s="165">
        <f t="shared" si="5"/>
        <v>682099.5863</v>
      </c>
      <c r="G515" s="166">
        <f t="shared" si="2"/>
        <v>392.2072621</v>
      </c>
      <c r="H515" s="167">
        <f t="shared" si="3"/>
        <v>43703.00018</v>
      </c>
      <c r="I515" s="168">
        <f t="shared" si="6"/>
        <v>54748.35532</v>
      </c>
      <c r="J515" s="1"/>
      <c r="K515" s="164"/>
      <c r="L515" s="164">
        <v>412.0</v>
      </c>
      <c r="M515" s="165">
        <f t="shared" si="7"/>
        <v>638396.5861</v>
      </c>
      <c r="N515" s="166">
        <f t="shared" si="8"/>
        <v>376.8414237</v>
      </c>
      <c r="O515" s="169">
        <f t="shared" si="9"/>
        <v>58988.40153</v>
      </c>
      <c r="P515" s="170">
        <f t="shared" ref="P515:Q515" si="420">P514+$L$7</f>
        <v>201125.7666</v>
      </c>
      <c r="Q515" s="171">
        <f t="shared" si="420"/>
        <v>201125.7666</v>
      </c>
      <c r="R515" s="172"/>
    </row>
    <row r="516" ht="14.25" customHeight="1" outlineLevel="1">
      <c r="A516" s="1"/>
      <c r="B516" s="163"/>
      <c r="C516" s="163"/>
      <c r="D516" s="164"/>
      <c r="E516" s="164">
        <v>413.0</v>
      </c>
      <c r="F516" s="165">
        <f t="shared" si="5"/>
        <v>686052.7811</v>
      </c>
      <c r="G516" s="166">
        <f t="shared" si="2"/>
        <v>394.4803492</v>
      </c>
      <c r="H516" s="167">
        <f t="shared" si="3"/>
        <v>43934.65058</v>
      </c>
      <c r="I516" s="168">
        <f t="shared" si="6"/>
        <v>55142.83567</v>
      </c>
      <c r="J516" s="1"/>
      <c r="K516" s="164"/>
      <c r="L516" s="164">
        <v>413.0</v>
      </c>
      <c r="M516" s="165">
        <f t="shared" si="7"/>
        <v>642118.1306</v>
      </c>
      <c r="N516" s="166">
        <f t="shared" si="8"/>
        <v>378.9813118</v>
      </c>
      <c r="O516" s="169">
        <f t="shared" si="9"/>
        <v>59367.38284</v>
      </c>
      <c r="P516" s="170">
        <f t="shared" ref="P516:Q516" si="421">P515+$L$7</f>
        <v>201613.9359</v>
      </c>
      <c r="Q516" s="171">
        <f t="shared" si="421"/>
        <v>201613.9359</v>
      </c>
      <c r="R516" s="172"/>
    </row>
    <row r="517" ht="14.25" customHeight="1" outlineLevel="1">
      <c r="A517" s="1"/>
      <c r="B517" s="163"/>
      <c r="C517" s="163"/>
      <c r="D517" s="164"/>
      <c r="E517" s="164">
        <v>414.0</v>
      </c>
      <c r="F517" s="165">
        <f t="shared" si="5"/>
        <v>690026.042</v>
      </c>
      <c r="G517" s="166">
        <f t="shared" si="2"/>
        <v>396.7649742</v>
      </c>
      <c r="H517" s="167">
        <f t="shared" si="3"/>
        <v>44167.47681</v>
      </c>
      <c r="I517" s="168">
        <f t="shared" si="6"/>
        <v>55539.60064</v>
      </c>
      <c r="J517" s="1"/>
      <c r="K517" s="164"/>
      <c r="L517" s="164">
        <v>414.0</v>
      </c>
      <c r="M517" s="165">
        <f t="shared" si="7"/>
        <v>645858.5652</v>
      </c>
      <c r="N517" s="166">
        <f t="shared" si="8"/>
        <v>381.1320617</v>
      </c>
      <c r="O517" s="169">
        <f t="shared" si="9"/>
        <v>59748.5149</v>
      </c>
      <c r="P517" s="170">
        <f t="shared" ref="P517:Q517" si="422">P516+$L$7</f>
        <v>202102.1053</v>
      </c>
      <c r="Q517" s="171">
        <f t="shared" si="422"/>
        <v>202102.1053</v>
      </c>
      <c r="R517" s="172"/>
    </row>
    <row r="518" ht="14.25" customHeight="1" outlineLevel="1">
      <c r="A518" s="1"/>
      <c r="B518" s="163"/>
      <c r="C518" s="163"/>
      <c r="D518" s="164"/>
      <c r="E518" s="164">
        <v>415.0</v>
      </c>
      <c r="F518" s="165">
        <f t="shared" si="5"/>
        <v>694019.4708</v>
      </c>
      <c r="G518" s="166">
        <f t="shared" si="2"/>
        <v>399.0611957</v>
      </c>
      <c r="H518" s="167">
        <f t="shared" si="3"/>
        <v>44401.48484</v>
      </c>
      <c r="I518" s="168">
        <f t="shared" si="6"/>
        <v>55938.66184</v>
      </c>
      <c r="J518" s="1"/>
      <c r="K518" s="164"/>
      <c r="L518" s="164">
        <v>415.0</v>
      </c>
      <c r="M518" s="165">
        <f t="shared" si="7"/>
        <v>649617.9859</v>
      </c>
      <c r="N518" s="166">
        <f t="shared" si="8"/>
        <v>383.2937286</v>
      </c>
      <c r="O518" s="169">
        <f t="shared" si="9"/>
        <v>60131.80863</v>
      </c>
      <c r="P518" s="170">
        <f t="shared" ref="P518:Q518" si="423">P517+$L$7</f>
        <v>202590.2746</v>
      </c>
      <c r="Q518" s="171">
        <f t="shared" si="423"/>
        <v>202590.2746</v>
      </c>
      <c r="R518" s="172"/>
    </row>
    <row r="519" ht="14.25" customHeight="1" outlineLevel="1">
      <c r="A519" s="1"/>
      <c r="B519" s="163"/>
      <c r="C519" s="163"/>
      <c r="D519" s="164"/>
      <c r="E519" s="164">
        <v>416.0</v>
      </c>
      <c r="F519" s="165">
        <f t="shared" si="5"/>
        <v>698033.1697</v>
      </c>
      <c r="G519" s="166">
        <f t="shared" si="2"/>
        <v>401.3690726</v>
      </c>
      <c r="H519" s="167">
        <f t="shared" si="3"/>
        <v>44636.68067</v>
      </c>
      <c r="I519" s="168">
        <f t="shared" si="6"/>
        <v>56340.03091</v>
      </c>
      <c r="J519" s="1"/>
      <c r="K519" s="164"/>
      <c r="L519" s="164">
        <v>416.0</v>
      </c>
      <c r="M519" s="165">
        <f t="shared" si="7"/>
        <v>653396.4891</v>
      </c>
      <c r="N519" s="166">
        <f t="shared" si="8"/>
        <v>385.4663679</v>
      </c>
      <c r="O519" s="169">
        <f t="shared" si="9"/>
        <v>60517.275</v>
      </c>
      <c r="P519" s="170">
        <f t="shared" ref="P519:Q519" si="424">P518+$L$7</f>
        <v>203078.4439</v>
      </c>
      <c r="Q519" s="171">
        <f t="shared" si="424"/>
        <v>203078.4439</v>
      </c>
      <c r="R519" s="172"/>
    </row>
    <row r="520" ht="14.25" customHeight="1" outlineLevel="1">
      <c r="A520" s="1"/>
      <c r="B520" s="163"/>
      <c r="C520" s="163"/>
      <c r="D520" s="164"/>
      <c r="E520" s="164">
        <v>417.0</v>
      </c>
      <c r="F520" s="165">
        <f t="shared" si="5"/>
        <v>702067.2418</v>
      </c>
      <c r="G520" s="166">
        <f t="shared" si="2"/>
        <v>403.688664</v>
      </c>
      <c r="H520" s="167">
        <f t="shared" si="3"/>
        <v>44873.07033</v>
      </c>
      <c r="I520" s="168">
        <f t="shared" si="6"/>
        <v>56743.71957</v>
      </c>
      <c r="J520" s="1"/>
      <c r="K520" s="164"/>
      <c r="L520" s="164">
        <v>417.0</v>
      </c>
      <c r="M520" s="165">
        <f t="shared" si="7"/>
        <v>657194.1715</v>
      </c>
      <c r="N520" s="166">
        <f t="shared" si="8"/>
        <v>387.6500353</v>
      </c>
      <c r="O520" s="169">
        <f t="shared" si="9"/>
        <v>60904.92503</v>
      </c>
      <c r="P520" s="170">
        <f t="shared" ref="P520:Q520" si="425">P519+$L$7</f>
        <v>203566.6133</v>
      </c>
      <c r="Q520" s="171">
        <f t="shared" si="425"/>
        <v>203566.6133</v>
      </c>
      <c r="R520" s="172"/>
    </row>
    <row r="521" ht="14.25" customHeight="1" outlineLevel="1">
      <c r="A521" s="1"/>
      <c r="B521" s="163"/>
      <c r="C521" s="163"/>
      <c r="D521" s="164"/>
      <c r="E521" s="164">
        <v>418.0</v>
      </c>
      <c r="F521" s="165">
        <f t="shared" si="5"/>
        <v>706121.7904</v>
      </c>
      <c r="G521" s="166">
        <f t="shared" si="2"/>
        <v>406.0200295</v>
      </c>
      <c r="H521" s="167">
        <f t="shared" si="3"/>
        <v>45110.65988</v>
      </c>
      <c r="I521" s="168">
        <f t="shared" si="6"/>
        <v>57149.7396</v>
      </c>
      <c r="J521" s="1"/>
      <c r="K521" s="164"/>
      <c r="L521" s="164">
        <v>418.0</v>
      </c>
      <c r="M521" s="165">
        <f t="shared" si="7"/>
        <v>661011.1305</v>
      </c>
      <c r="N521" s="166">
        <f t="shared" si="8"/>
        <v>389.8447868</v>
      </c>
      <c r="O521" s="169">
        <f t="shared" si="9"/>
        <v>61294.76982</v>
      </c>
      <c r="P521" s="170">
        <f t="shared" ref="P521:Q521" si="426">P520+$L$7</f>
        <v>204054.7826</v>
      </c>
      <c r="Q521" s="171">
        <f t="shared" si="426"/>
        <v>204054.7826</v>
      </c>
      <c r="R521" s="172"/>
    </row>
    <row r="522" ht="14.25" customHeight="1" outlineLevel="1">
      <c r="A522" s="1"/>
      <c r="B522" s="163"/>
      <c r="C522" s="163"/>
      <c r="D522" s="164"/>
      <c r="E522" s="164">
        <v>419.0</v>
      </c>
      <c r="F522" s="165">
        <f t="shared" si="5"/>
        <v>710196.9195</v>
      </c>
      <c r="G522" s="166">
        <f t="shared" si="2"/>
        <v>408.3632287</v>
      </c>
      <c r="H522" s="167">
        <f t="shared" si="3"/>
        <v>45349.45541</v>
      </c>
      <c r="I522" s="168">
        <f t="shared" si="6"/>
        <v>57558.10283</v>
      </c>
      <c r="J522" s="1"/>
      <c r="K522" s="164"/>
      <c r="L522" s="164">
        <v>419.0</v>
      </c>
      <c r="M522" s="165">
        <f t="shared" si="7"/>
        <v>664847.464</v>
      </c>
      <c r="N522" s="166">
        <f t="shared" si="8"/>
        <v>392.0506786</v>
      </c>
      <c r="O522" s="169">
        <f t="shared" si="9"/>
        <v>61686.8205</v>
      </c>
      <c r="P522" s="170">
        <f t="shared" ref="P522:Q522" si="427">P521+$L$7</f>
        <v>204542.9519</v>
      </c>
      <c r="Q522" s="171">
        <f t="shared" si="427"/>
        <v>204542.9519</v>
      </c>
      <c r="R522" s="172"/>
    </row>
    <row r="523" ht="14.25" customHeight="1" outlineLevel="1">
      <c r="A523" s="1"/>
      <c r="B523" s="163"/>
      <c r="C523" s="163"/>
      <c r="D523" s="164">
        <v>35.0</v>
      </c>
      <c r="E523" s="164">
        <v>420.0</v>
      </c>
      <c r="F523" s="165">
        <f t="shared" si="5"/>
        <v>714292.7334</v>
      </c>
      <c r="G523" s="166">
        <f t="shared" si="2"/>
        <v>410.7183217</v>
      </c>
      <c r="H523" s="167">
        <f t="shared" si="3"/>
        <v>45589.46304</v>
      </c>
      <c r="I523" s="168">
        <f t="shared" si="6"/>
        <v>57968.82115</v>
      </c>
      <c r="J523" s="1"/>
      <c r="K523" s="164">
        <v>35.0</v>
      </c>
      <c r="L523" s="164">
        <v>420.0</v>
      </c>
      <c r="M523" s="165">
        <f t="shared" si="7"/>
        <v>668703.2704</v>
      </c>
      <c r="N523" s="166">
        <f t="shared" si="8"/>
        <v>394.2677672</v>
      </c>
      <c r="O523" s="169">
        <f t="shared" si="9"/>
        <v>62081.08827</v>
      </c>
      <c r="P523" s="170">
        <f t="shared" ref="P523:Q523" si="428">P522+$L$7</f>
        <v>205031.1213</v>
      </c>
      <c r="Q523" s="171">
        <f t="shared" si="428"/>
        <v>205031.1213</v>
      </c>
      <c r="R523" s="172"/>
    </row>
    <row r="524" ht="14.25" customHeight="1" outlineLevel="1">
      <c r="A524" s="1"/>
      <c r="B524" s="163"/>
      <c r="C524" s="163"/>
      <c r="D524" s="164"/>
      <c r="E524" s="164">
        <v>421.0</v>
      </c>
      <c r="F524" s="165">
        <f t="shared" si="5"/>
        <v>718409.3373</v>
      </c>
      <c r="G524" s="166">
        <f t="shared" si="2"/>
        <v>413.085369</v>
      </c>
      <c r="H524" s="167">
        <f t="shared" si="3"/>
        <v>45830.68893</v>
      </c>
      <c r="I524" s="168">
        <f t="shared" si="6"/>
        <v>58381.90652</v>
      </c>
      <c r="J524" s="1"/>
      <c r="K524" s="164"/>
      <c r="L524" s="164">
        <v>421.0</v>
      </c>
      <c r="M524" s="165">
        <f t="shared" si="7"/>
        <v>672578.6484</v>
      </c>
      <c r="N524" s="166">
        <f t="shared" si="8"/>
        <v>396.4961096</v>
      </c>
      <c r="O524" s="169">
        <f t="shared" si="9"/>
        <v>62477.58438</v>
      </c>
      <c r="P524" s="170">
        <f t="shared" ref="P524:Q524" si="429">P523+$L$7</f>
        <v>205519.2906</v>
      </c>
      <c r="Q524" s="171">
        <f t="shared" si="429"/>
        <v>205519.2906</v>
      </c>
      <c r="R524" s="172"/>
    </row>
    <row r="525" ht="14.25" customHeight="1" outlineLevel="1">
      <c r="A525" s="1"/>
      <c r="B525" s="163"/>
      <c r="C525" s="163"/>
      <c r="D525" s="164"/>
      <c r="E525" s="164">
        <v>422.0</v>
      </c>
      <c r="F525" s="165">
        <f t="shared" si="5"/>
        <v>722546.8367</v>
      </c>
      <c r="G525" s="166">
        <f t="shared" si="2"/>
        <v>415.4644311</v>
      </c>
      <c r="H525" s="167">
        <f t="shared" si="3"/>
        <v>46073.13925</v>
      </c>
      <c r="I525" s="168">
        <f t="shared" si="6"/>
        <v>58797.37095</v>
      </c>
      <c r="J525" s="1"/>
      <c r="K525" s="164"/>
      <c r="L525" s="164">
        <v>422.0</v>
      </c>
      <c r="M525" s="165">
        <f t="shared" si="7"/>
        <v>676473.6974</v>
      </c>
      <c r="N525" s="166">
        <f t="shared" si="8"/>
        <v>398.7357627</v>
      </c>
      <c r="O525" s="169">
        <f t="shared" si="9"/>
        <v>62876.32014</v>
      </c>
      <c r="P525" s="170">
        <f t="shared" ref="P525:Q525" si="430">P524+$L$7</f>
        <v>206007.4599</v>
      </c>
      <c r="Q525" s="171">
        <f t="shared" si="430"/>
        <v>206007.4599</v>
      </c>
      <c r="R525" s="172"/>
    </row>
    <row r="526" ht="14.25" customHeight="1" outlineLevel="1">
      <c r="A526" s="1"/>
      <c r="B526" s="163"/>
      <c r="C526" s="163"/>
      <c r="D526" s="164"/>
      <c r="E526" s="164">
        <v>423.0</v>
      </c>
      <c r="F526" s="165">
        <f t="shared" si="5"/>
        <v>726705.3375</v>
      </c>
      <c r="G526" s="166">
        <f t="shared" si="2"/>
        <v>417.8555691</v>
      </c>
      <c r="H526" s="167">
        <f t="shared" si="3"/>
        <v>46316.82022</v>
      </c>
      <c r="I526" s="168">
        <f t="shared" si="6"/>
        <v>59215.22652</v>
      </c>
      <c r="J526" s="1"/>
      <c r="K526" s="164"/>
      <c r="L526" s="164">
        <v>423.0</v>
      </c>
      <c r="M526" s="165">
        <f t="shared" si="7"/>
        <v>680388.5173</v>
      </c>
      <c r="N526" s="166">
        <f t="shared" si="8"/>
        <v>400.9867842</v>
      </c>
      <c r="O526" s="169">
        <f t="shared" si="9"/>
        <v>63277.30692</v>
      </c>
      <c r="P526" s="170">
        <f t="shared" ref="P526:Q526" si="431">P525+$L$7</f>
        <v>206495.6293</v>
      </c>
      <c r="Q526" s="171">
        <f t="shared" si="431"/>
        <v>206495.6293</v>
      </c>
      <c r="R526" s="172"/>
    </row>
    <row r="527" ht="14.25" customHeight="1" outlineLevel="1">
      <c r="A527" s="1"/>
      <c r="B527" s="163"/>
      <c r="C527" s="163"/>
      <c r="D527" s="164"/>
      <c r="E527" s="164">
        <v>424.0</v>
      </c>
      <c r="F527" s="165">
        <f t="shared" si="5"/>
        <v>730884.9465</v>
      </c>
      <c r="G527" s="166">
        <f t="shared" si="2"/>
        <v>420.2588442</v>
      </c>
      <c r="H527" s="167">
        <f t="shared" si="3"/>
        <v>46561.73809</v>
      </c>
      <c r="I527" s="168">
        <f t="shared" si="6"/>
        <v>59635.48537</v>
      </c>
      <c r="J527" s="1"/>
      <c r="K527" s="164"/>
      <c r="L527" s="164">
        <v>424.0</v>
      </c>
      <c r="M527" s="165">
        <f t="shared" si="7"/>
        <v>684323.2084</v>
      </c>
      <c r="N527" s="166">
        <f t="shared" si="8"/>
        <v>403.2492316</v>
      </c>
      <c r="O527" s="169">
        <f t="shared" si="9"/>
        <v>63680.55616</v>
      </c>
      <c r="P527" s="170">
        <f t="shared" ref="P527:Q527" si="432">P526+$L$7</f>
        <v>206983.7986</v>
      </c>
      <c r="Q527" s="171">
        <f t="shared" si="432"/>
        <v>206983.7986</v>
      </c>
      <c r="R527" s="172"/>
    </row>
    <row r="528" ht="14.25" customHeight="1" outlineLevel="1">
      <c r="A528" s="1"/>
      <c r="B528" s="163"/>
      <c r="C528" s="163"/>
      <c r="D528" s="164"/>
      <c r="E528" s="164">
        <v>425.0</v>
      </c>
      <c r="F528" s="165">
        <f t="shared" si="5"/>
        <v>735085.7707</v>
      </c>
      <c r="G528" s="166">
        <f t="shared" si="2"/>
        <v>422.6743182</v>
      </c>
      <c r="H528" s="167">
        <f t="shared" si="3"/>
        <v>46807.89914</v>
      </c>
      <c r="I528" s="168">
        <f t="shared" si="6"/>
        <v>60058.15969</v>
      </c>
      <c r="J528" s="1"/>
      <c r="K528" s="164"/>
      <c r="L528" s="164">
        <v>425.0</v>
      </c>
      <c r="M528" s="165">
        <f t="shared" si="7"/>
        <v>688277.8716</v>
      </c>
      <c r="N528" s="166">
        <f t="shared" si="8"/>
        <v>405.5231629</v>
      </c>
      <c r="O528" s="169">
        <f t="shared" si="9"/>
        <v>64086.07932</v>
      </c>
      <c r="P528" s="170">
        <f t="shared" ref="P528:Q528" si="433">P527+$L$7</f>
        <v>207471.968</v>
      </c>
      <c r="Q528" s="171">
        <f t="shared" si="433"/>
        <v>207471.968</v>
      </c>
      <c r="R528" s="172"/>
    </row>
    <row r="529" ht="14.25" customHeight="1" outlineLevel="1">
      <c r="A529" s="1"/>
      <c r="B529" s="163"/>
      <c r="C529" s="163"/>
      <c r="D529" s="164"/>
      <c r="E529" s="164">
        <v>426.0</v>
      </c>
      <c r="F529" s="165">
        <f t="shared" si="5"/>
        <v>739307.9179</v>
      </c>
      <c r="G529" s="166">
        <f t="shared" si="2"/>
        <v>425.1020528</v>
      </c>
      <c r="H529" s="167">
        <f t="shared" si="3"/>
        <v>47055.30968</v>
      </c>
      <c r="I529" s="168">
        <f t="shared" si="6"/>
        <v>60483.26174</v>
      </c>
      <c r="J529" s="1"/>
      <c r="K529" s="164"/>
      <c r="L529" s="164">
        <v>426.0</v>
      </c>
      <c r="M529" s="165">
        <f t="shared" si="7"/>
        <v>692252.6082</v>
      </c>
      <c r="N529" s="166">
        <f t="shared" si="8"/>
        <v>407.8086364</v>
      </c>
      <c r="O529" s="169">
        <f t="shared" si="9"/>
        <v>64493.88795</v>
      </c>
      <c r="P529" s="170">
        <f t="shared" ref="P529:Q529" si="434">P528+$L$7</f>
        <v>207960.1373</v>
      </c>
      <c r="Q529" s="171">
        <f t="shared" si="434"/>
        <v>207960.1373</v>
      </c>
      <c r="R529" s="172"/>
    </row>
    <row r="530" ht="14.25" customHeight="1" outlineLevel="1">
      <c r="A530" s="1"/>
      <c r="B530" s="163"/>
      <c r="C530" s="163"/>
      <c r="D530" s="164"/>
      <c r="E530" s="164">
        <v>427.0</v>
      </c>
      <c r="F530" s="165">
        <f t="shared" si="5"/>
        <v>743551.4962</v>
      </c>
      <c r="G530" s="166">
        <f t="shared" si="2"/>
        <v>427.5421103</v>
      </c>
      <c r="H530" s="167">
        <f t="shared" si="3"/>
        <v>47303.97604</v>
      </c>
      <c r="I530" s="168">
        <f t="shared" si="6"/>
        <v>60910.80385</v>
      </c>
      <c r="J530" s="1"/>
      <c r="K530" s="164"/>
      <c r="L530" s="164">
        <v>427.0</v>
      </c>
      <c r="M530" s="165">
        <f t="shared" si="7"/>
        <v>696247.5201</v>
      </c>
      <c r="N530" s="166">
        <f t="shared" si="8"/>
        <v>410.1057108</v>
      </c>
      <c r="O530" s="169">
        <f t="shared" si="9"/>
        <v>64903.99367</v>
      </c>
      <c r="P530" s="170">
        <f t="shared" ref="P530:Q530" si="435">P529+$L$7</f>
        <v>208448.3066</v>
      </c>
      <c r="Q530" s="171">
        <f t="shared" si="435"/>
        <v>208448.3066</v>
      </c>
      <c r="R530" s="172"/>
    </row>
    <row r="531" ht="14.25" customHeight="1" outlineLevel="1">
      <c r="A531" s="1"/>
      <c r="B531" s="163"/>
      <c r="C531" s="163"/>
      <c r="D531" s="164"/>
      <c r="E531" s="164">
        <v>428.0</v>
      </c>
      <c r="F531" s="165">
        <f t="shared" si="5"/>
        <v>747816.6145</v>
      </c>
      <c r="G531" s="166">
        <f t="shared" si="2"/>
        <v>429.9945533</v>
      </c>
      <c r="H531" s="167">
        <f t="shared" si="3"/>
        <v>47553.90462</v>
      </c>
      <c r="I531" s="168">
        <f t="shared" si="6"/>
        <v>61340.7984</v>
      </c>
      <c r="J531" s="1"/>
      <c r="K531" s="164"/>
      <c r="L531" s="164">
        <v>428.0</v>
      </c>
      <c r="M531" s="165">
        <f t="shared" si="7"/>
        <v>700262.7099</v>
      </c>
      <c r="N531" s="166">
        <f t="shared" si="8"/>
        <v>412.4144449</v>
      </c>
      <c r="O531" s="169">
        <f t="shared" si="9"/>
        <v>65316.40811</v>
      </c>
      <c r="P531" s="170">
        <f t="shared" ref="P531:Q531" si="436">P530+$L$7</f>
        <v>208936.476</v>
      </c>
      <c r="Q531" s="171">
        <f t="shared" si="436"/>
        <v>208936.476</v>
      </c>
      <c r="R531" s="172"/>
    </row>
    <row r="532" ht="14.25" customHeight="1" outlineLevel="1">
      <c r="A532" s="1"/>
      <c r="B532" s="163"/>
      <c r="C532" s="163"/>
      <c r="D532" s="164"/>
      <c r="E532" s="164">
        <v>429.0</v>
      </c>
      <c r="F532" s="165">
        <f t="shared" si="5"/>
        <v>752103.382</v>
      </c>
      <c r="G532" s="166">
        <f t="shared" si="2"/>
        <v>432.4594447</v>
      </c>
      <c r="H532" s="167">
        <f t="shared" si="3"/>
        <v>47805.1018</v>
      </c>
      <c r="I532" s="168">
        <f t="shared" si="6"/>
        <v>61773.25785</v>
      </c>
      <c r="J532" s="1"/>
      <c r="K532" s="164"/>
      <c r="L532" s="164">
        <v>429.0</v>
      </c>
      <c r="M532" s="165">
        <f t="shared" si="7"/>
        <v>704298.2803</v>
      </c>
      <c r="N532" s="166">
        <f t="shared" si="8"/>
        <v>414.7348979</v>
      </c>
      <c r="O532" s="169">
        <f t="shared" si="9"/>
        <v>65731.14301</v>
      </c>
      <c r="P532" s="170">
        <f t="shared" ref="P532:Q532" si="437">P531+$L$7</f>
        <v>209424.6453</v>
      </c>
      <c r="Q532" s="171">
        <f t="shared" si="437"/>
        <v>209424.6453</v>
      </c>
      <c r="R532" s="172"/>
    </row>
    <row r="533" ht="14.25" customHeight="1" outlineLevel="1">
      <c r="A533" s="1"/>
      <c r="B533" s="163"/>
      <c r="C533" s="163"/>
      <c r="D533" s="164"/>
      <c r="E533" s="164">
        <v>430.0</v>
      </c>
      <c r="F533" s="165">
        <f t="shared" si="5"/>
        <v>756411.9088</v>
      </c>
      <c r="G533" s="166">
        <f t="shared" si="2"/>
        <v>434.9368476</v>
      </c>
      <c r="H533" s="167">
        <f t="shared" si="3"/>
        <v>48057.57403</v>
      </c>
      <c r="I533" s="168">
        <f t="shared" si="6"/>
        <v>62208.19469</v>
      </c>
      <c r="J533" s="1"/>
      <c r="K533" s="164"/>
      <c r="L533" s="164">
        <v>430.0</v>
      </c>
      <c r="M533" s="165">
        <f t="shared" si="7"/>
        <v>708354.3348</v>
      </c>
      <c r="N533" s="166">
        <f t="shared" si="8"/>
        <v>417.0671292</v>
      </c>
      <c r="O533" s="169">
        <f t="shared" si="9"/>
        <v>66148.21014</v>
      </c>
      <c r="P533" s="170">
        <f t="shared" ref="P533:Q533" si="438">P532+$L$7</f>
        <v>209912.8146</v>
      </c>
      <c r="Q533" s="171">
        <f t="shared" si="438"/>
        <v>209912.8146</v>
      </c>
      <c r="R533" s="172"/>
    </row>
    <row r="534" ht="14.25" customHeight="1" outlineLevel="1">
      <c r="A534" s="1"/>
      <c r="B534" s="163"/>
      <c r="C534" s="163"/>
      <c r="D534" s="164"/>
      <c r="E534" s="164">
        <v>431.0</v>
      </c>
      <c r="F534" s="165">
        <f t="shared" si="5"/>
        <v>760742.3052</v>
      </c>
      <c r="G534" s="166">
        <f t="shared" si="2"/>
        <v>437.4268255</v>
      </c>
      <c r="H534" s="167">
        <f t="shared" si="3"/>
        <v>48311.32778</v>
      </c>
      <c r="I534" s="168">
        <f t="shared" si="6"/>
        <v>62645.62152</v>
      </c>
      <c r="J534" s="1"/>
      <c r="K534" s="164"/>
      <c r="L534" s="164">
        <v>431.0</v>
      </c>
      <c r="M534" s="165">
        <f t="shared" si="7"/>
        <v>712430.9774</v>
      </c>
      <c r="N534" s="166">
        <f t="shared" si="8"/>
        <v>419.4111987</v>
      </c>
      <c r="O534" s="169">
        <f t="shared" si="9"/>
        <v>66567.62134</v>
      </c>
      <c r="P534" s="170">
        <f t="shared" ref="P534:Q534" si="439">P533+$L$7</f>
        <v>210400.984</v>
      </c>
      <c r="Q534" s="171">
        <f t="shared" si="439"/>
        <v>210400.984</v>
      </c>
      <c r="R534" s="172"/>
    </row>
    <row r="535" ht="14.25" customHeight="1" outlineLevel="1">
      <c r="A535" s="1"/>
      <c r="B535" s="163"/>
      <c r="C535" s="163"/>
      <c r="D535" s="164">
        <v>36.0</v>
      </c>
      <c r="E535" s="164">
        <v>432.0</v>
      </c>
      <c r="F535" s="165">
        <f t="shared" si="5"/>
        <v>765094.6822</v>
      </c>
      <c r="G535" s="166">
        <f t="shared" si="2"/>
        <v>439.9294423</v>
      </c>
      <c r="H535" s="167">
        <f t="shared" si="3"/>
        <v>48566.36956</v>
      </c>
      <c r="I535" s="168">
        <f t="shared" si="6"/>
        <v>63085.55096</v>
      </c>
      <c r="J535" s="1"/>
      <c r="K535" s="164">
        <v>36.0</v>
      </c>
      <c r="L535" s="164">
        <v>432.0</v>
      </c>
      <c r="M535" s="165">
        <f t="shared" si="7"/>
        <v>716528.3126</v>
      </c>
      <c r="N535" s="166">
        <f t="shared" si="8"/>
        <v>421.7671665</v>
      </c>
      <c r="O535" s="169">
        <f t="shared" si="9"/>
        <v>66989.3885</v>
      </c>
      <c r="P535" s="170">
        <f t="shared" ref="P535:Q535" si="440">P534+$L$7</f>
        <v>210889.1533</v>
      </c>
      <c r="Q535" s="171">
        <f t="shared" si="440"/>
        <v>210889.1533</v>
      </c>
      <c r="R535" s="172"/>
    </row>
    <row r="536" ht="14.25" customHeight="1" outlineLevel="1">
      <c r="A536" s="1"/>
      <c r="B536" s="163"/>
      <c r="C536" s="163"/>
      <c r="D536" s="164"/>
      <c r="E536" s="164">
        <v>433.0</v>
      </c>
      <c r="F536" s="165">
        <f t="shared" si="5"/>
        <v>769469.1514</v>
      </c>
      <c r="G536" s="166">
        <f t="shared" si="2"/>
        <v>442.4447621</v>
      </c>
      <c r="H536" s="167">
        <f t="shared" si="3"/>
        <v>48822.70591</v>
      </c>
      <c r="I536" s="168">
        <f t="shared" si="6"/>
        <v>63527.99572</v>
      </c>
      <c r="J536" s="1"/>
      <c r="K536" s="164"/>
      <c r="L536" s="164">
        <v>433.0</v>
      </c>
      <c r="M536" s="165">
        <f t="shared" si="7"/>
        <v>720646.4455</v>
      </c>
      <c r="N536" s="166">
        <f t="shared" si="8"/>
        <v>424.1350929</v>
      </c>
      <c r="O536" s="169">
        <f t="shared" si="9"/>
        <v>67413.5236</v>
      </c>
      <c r="P536" s="170">
        <f t="shared" ref="P536:Q536" si="441">P535+$L$7</f>
        <v>211377.3226</v>
      </c>
      <c r="Q536" s="171">
        <f t="shared" si="441"/>
        <v>211377.3226</v>
      </c>
      <c r="R536" s="172"/>
    </row>
    <row r="537" ht="14.25" customHeight="1" outlineLevel="1">
      <c r="A537" s="1"/>
      <c r="B537" s="163"/>
      <c r="C537" s="163"/>
      <c r="D537" s="164"/>
      <c r="E537" s="164">
        <v>434.0</v>
      </c>
      <c r="F537" s="165">
        <f t="shared" si="5"/>
        <v>773865.825</v>
      </c>
      <c r="G537" s="166">
        <f t="shared" si="2"/>
        <v>444.9728494</v>
      </c>
      <c r="H537" s="167">
        <f t="shared" si="3"/>
        <v>49080.34339</v>
      </c>
      <c r="I537" s="168">
        <f t="shared" si="6"/>
        <v>63972.96857</v>
      </c>
      <c r="J537" s="1"/>
      <c r="K537" s="164"/>
      <c r="L537" s="164">
        <v>434.0</v>
      </c>
      <c r="M537" s="165">
        <f t="shared" si="7"/>
        <v>724785.4816</v>
      </c>
      <c r="N537" s="166">
        <f t="shared" si="8"/>
        <v>426.5150386</v>
      </c>
      <c r="O537" s="169">
        <f t="shared" si="9"/>
        <v>67840.03863</v>
      </c>
      <c r="P537" s="170">
        <f t="shared" ref="P537:Q537" si="442">P536+$L$7</f>
        <v>211865.492</v>
      </c>
      <c r="Q537" s="171">
        <f t="shared" si="442"/>
        <v>211865.492</v>
      </c>
      <c r="R537" s="172"/>
    </row>
    <row r="538" ht="14.25" customHeight="1" outlineLevel="1">
      <c r="A538" s="1"/>
      <c r="B538" s="163"/>
      <c r="C538" s="163"/>
      <c r="D538" s="164"/>
      <c r="E538" s="164">
        <v>435.0</v>
      </c>
      <c r="F538" s="165">
        <f t="shared" si="5"/>
        <v>778284.8156</v>
      </c>
      <c r="G538" s="166">
        <f t="shared" si="2"/>
        <v>447.513769</v>
      </c>
      <c r="H538" s="167">
        <f t="shared" si="3"/>
        <v>49339.28862</v>
      </c>
      <c r="I538" s="168">
        <f t="shared" si="6"/>
        <v>64420.48234</v>
      </c>
      <c r="J538" s="1"/>
      <c r="K538" s="164"/>
      <c r="L538" s="164">
        <v>435.0</v>
      </c>
      <c r="M538" s="165">
        <f t="shared" si="7"/>
        <v>728945.527</v>
      </c>
      <c r="N538" s="166">
        <f t="shared" si="8"/>
        <v>428.9070647</v>
      </c>
      <c r="O538" s="169">
        <f t="shared" si="9"/>
        <v>68268.9457</v>
      </c>
      <c r="P538" s="170">
        <f t="shared" ref="P538:Q538" si="443">P537+$L$7</f>
        <v>212353.6613</v>
      </c>
      <c r="Q538" s="171">
        <f t="shared" si="443"/>
        <v>212353.6613</v>
      </c>
      <c r="R538" s="172"/>
    </row>
    <row r="539" ht="14.25" customHeight="1" outlineLevel="1">
      <c r="A539" s="1"/>
      <c r="B539" s="163"/>
      <c r="C539" s="163"/>
      <c r="D539" s="164"/>
      <c r="E539" s="164">
        <v>436.0</v>
      </c>
      <c r="F539" s="165">
        <f t="shared" si="5"/>
        <v>782726.2365</v>
      </c>
      <c r="G539" s="166">
        <f t="shared" si="2"/>
        <v>450.067586</v>
      </c>
      <c r="H539" s="167">
        <f t="shared" si="3"/>
        <v>49599.54822</v>
      </c>
      <c r="I539" s="168">
        <f t="shared" si="6"/>
        <v>64870.54993</v>
      </c>
      <c r="J539" s="1"/>
      <c r="K539" s="164"/>
      <c r="L539" s="164">
        <v>436.0</v>
      </c>
      <c r="M539" s="165">
        <f t="shared" si="7"/>
        <v>733126.6883</v>
      </c>
      <c r="N539" s="166">
        <f t="shared" si="8"/>
        <v>431.3112325</v>
      </c>
      <c r="O539" s="169">
        <f t="shared" si="9"/>
        <v>68700.25693</v>
      </c>
      <c r="P539" s="170">
        <f t="shared" ref="P539:Q539" si="444">P538+$L$7</f>
        <v>212841.8307</v>
      </c>
      <c r="Q539" s="171">
        <f t="shared" si="444"/>
        <v>212841.8307</v>
      </c>
      <c r="R539" s="172"/>
    </row>
    <row r="540" ht="14.25" customHeight="1" outlineLevel="1">
      <c r="A540" s="1"/>
      <c r="B540" s="163"/>
      <c r="C540" s="163"/>
      <c r="D540" s="164"/>
      <c r="E540" s="164">
        <v>437.0</v>
      </c>
      <c r="F540" s="165">
        <f t="shared" si="5"/>
        <v>787190.2016</v>
      </c>
      <c r="G540" s="166">
        <f t="shared" si="2"/>
        <v>452.6343659</v>
      </c>
      <c r="H540" s="167">
        <f t="shared" si="3"/>
        <v>49861.12887</v>
      </c>
      <c r="I540" s="168">
        <f t="shared" si="6"/>
        <v>65323.18429</v>
      </c>
      <c r="J540" s="1"/>
      <c r="K540" s="164"/>
      <c r="L540" s="164">
        <v>437.0</v>
      </c>
      <c r="M540" s="165">
        <f t="shared" si="7"/>
        <v>737329.0728</v>
      </c>
      <c r="N540" s="166">
        <f t="shared" si="8"/>
        <v>433.7276036</v>
      </c>
      <c r="O540" s="169">
        <f t="shared" si="9"/>
        <v>69133.98454</v>
      </c>
      <c r="P540" s="170">
        <f t="shared" ref="P540:Q540" si="445">P539+$L$7</f>
        <v>213330</v>
      </c>
      <c r="Q540" s="171">
        <f t="shared" si="445"/>
        <v>213330</v>
      </c>
      <c r="R540" s="172"/>
    </row>
    <row r="541" ht="14.25" customHeight="1" outlineLevel="1">
      <c r="A541" s="1"/>
      <c r="B541" s="163"/>
      <c r="C541" s="163"/>
      <c r="D541" s="164"/>
      <c r="E541" s="164">
        <v>438.0</v>
      </c>
      <c r="F541" s="165">
        <f t="shared" si="5"/>
        <v>791676.8254</v>
      </c>
      <c r="G541" s="166">
        <f t="shared" si="2"/>
        <v>455.2141746</v>
      </c>
      <c r="H541" s="167">
        <f t="shared" si="3"/>
        <v>50124.03728</v>
      </c>
      <c r="I541" s="168">
        <f t="shared" si="6"/>
        <v>65778.39847</v>
      </c>
      <c r="J541" s="1"/>
      <c r="K541" s="164"/>
      <c r="L541" s="164">
        <v>438.0</v>
      </c>
      <c r="M541" s="165">
        <f t="shared" si="7"/>
        <v>741552.7881</v>
      </c>
      <c r="N541" s="166">
        <f t="shared" si="8"/>
        <v>436.1562399</v>
      </c>
      <c r="O541" s="169">
        <f t="shared" si="9"/>
        <v>69570.14077</v>
      </c>
      <c r="P541" s="170">
        <f t="shared" ref="P541:Q541" si="446">P540+$L$7</f>
        <v>213818.1693</v>
      </c>
      <c r="Q541" s="171">
        <f t="shared" si="446"/>
        <v>213818.1693</v>
      </c>
      <c r="R541" s="172"/>
    </row>
    <row r="542" ht="14.25" customHeight="1" outlineLevel="1">
      <c r="A542" s="1"/>
      <c r="B542" s="163"/>
      <c r="C542" s="163"/>
      <c r="D542" s="164"/>
      <c r="E542" s="164">
        <v>439.0</v>
      </c>
      <c r="F542" s="165">
        <f t="shared" si="5"/>
        <v>796186.2227</v>
      </c>
      <c r="G542" s="166">
        <f t="shared" si="2"/>
        <v>457.8070781</v>
      </c>
      <c r="H542" s="167">
        <f t="shared" si="3"/>
        <v>50388.28018</v>
      </c>
      <c r="I542" s="168">
        <f t="shared" si="6"/>
        <v>66236.20555</v>
      </c>
      <c r="J542" s="1"/>
      <c r="K542" s="164"/>
      <c r="L542" s="164">
        <v>439.0</v>
      </c>
      <c r="M542" s="165">
        <f t="shared" si="7"/>
        <v>745797.9426</v>
      </c>
      <c r="N542" s="166">
        <f t="shared" si="8"/>
        <v>438.5972037</v>
      </c>
      <c r="O542" s="169">
        <f t="shared" si="9"/>
        <v>70008.73798</v>
      </c>
      <c r="P542" s="170">
        <f t="shared" ref="P542:Q542" si="447">P541+$L$7</f>
        <v>214306.3387</v>
      </c>
      <c r="Q542" s="171">
        <f t="shared" si="447"/>
        <v>214306.3387</v>
      </c>
      <c r="R542" s="172"/>
    </row>
    <row r="543" ht="14.25" customHeight="1" outlineLevel="1">
      <c r="A543" s="1"/>
      <c r="B543" s="163"/>
      <c r="C543" s="163"/>
      <c r="D543" s="164"/>
      <c r="E543" s="164">
        <v>440.0</v>
      </c>
      <c r="F543" s="165">
        <f t="shared" si="5"/>
        <v>800718.5093</v>
      </c>
      <c r="G543" s="166">
        <f t="shared" si="2"/>
        <v>460.4131429</v>
      </c>
      <c r="H543" s="167">
        <f t="shared" si="3"/>
        <v>50653.86435</v>
      </c>
      <c r="I543" s="168">
        <f t="shared" si="6"/>
        <v>66696.61869</v>
      </c>
      <c r="J543" s="1"/>
      <c r="K543" s="164"/>
      <c r="L543" s="164">
        <v>440.0</v>
      </c>
      <c r="M543" s="165">
        <f t="shared" si="7"/>
        <v>750064.645</v>
      </c>
      <c r="N543" s="166">
        <f t="shared" si="8"/>
        <v>441.0505576</v>
      </c>
      <c r="O543" s="169">
        <f t="shared" si="9"/>
        <v>70449.78854</v>
      </c>
      <c r="P543" s="170">
        <f t="shared" ref="P543:Q543" si="448">P542+$L$7</f>
        <v>214794.508</v>
      </c>
      <c r="Q543" s="171">
        <f t="shared" si="448"/>
        <v>214794.508</v>
      </c>
      <c r="R543" s="172"/>
    </row>
    <row r="544" ht="14.25" customHeight="1" outlineLevel="1">
      <c r="A544" s="1"/>
      <c r="B544" s="163"/>
      <c r="C544" s="163"/>
      <c r="D544" s="164"/>
      <c r="E544" s="164">
        <v>441.0</v>
      </c>
      <c r="F544" s="165">
        <f t="shared" si="5"/>
        <v>805273.8013</v>
      </c>
      <c r="G544" s="166">
        <f t="shared" si="2"/>
        <v>463.0324358</v>
      </c>
      <c r="H544" s="167">
        <f t="shared" si="3"/>
        <v>50920.7966</v>
      </c>
      <c r="I544" s="168">
        <f t="shared" si="6"/>
        <v>67159.65113</v>
      </c>
      <c r="J544" s="1"/>
      <c r="K544" s="164"/>
      <c r="L544" s="164">
        <v>441.0</v>
      </c>
      <c r="M544" s="165">
        <f t="shared" si="7"/>
        <v>754353.0047</v>
      </c>
      <c r="N544" s="166">
        <f t="shared" si="8"/>
        <v>443.5163644</v>
      </c>
      <c r="O544" s="169">
        <f t="shared" si="9"/>
        <v>70893.3049</v>
      </c>
      <c r="P544" s="170">
        <f t="shared" ref="P544:Q544" si="449">P543+$L$7</f>
        <v>215282.6773</v>
      </c>
      <c r="Q544" s="171">
        <f t="shared" si="449"/>
        <v>215282.6773</v>
      </c>
      <c r="R544" s="172"/>
    </row>
    <row r="545" ht="14.25" customHeight="1" outlineLevel="1">
      <c r="A545" s="1"/>
      <c r="B545" s="163"/>
      <c r="C545" s="163"/>
      <c r="D545" s="164"/>
      <c r="E545" s="164">
        <v>442.0</v>
      </c>
      <c r="F545" s="165">
        <f t="shared" si="5"/>
        <v>809852.2155</v>
      </c>
      <c r="G545" s="166">
        <f t="shared" si="2"/>
        <v>465.6650239</v>
      </c>
      <c r="H545" s="167">
        <f t="shared" si="3"/>
        <v>51189.08377</v>
      </c>
      <c r="I545" s="168">
        <f t="shared" si="6"/>
        <v>67625.31615</v>
      </c>
      <c r="J545" s="1"/>
      <c r="K545" s="164"/>
      <c r="L545" s="164">
        <v>442.0</v>
      </c>
      <c r="M545" s="165">
        <f t="shared" si="7"/>
        <v>758663.1317</v>
      </c>
      <c r="N545" s="166">
        <f t="shared" si="8"/>
        <v>445.9946875</v>
      </c>
      <c r="O545" s="169">
        <f t="shared" si="9"/>
        <v>71339.29959</v>
      </c>
      <c r="P545" s="170">
        <f t="shared" ref="P545:Q545" si="450">P544+$L$7</f>
        <v>215770.8467</v>
      </c>
      <c r="Q545" s="171">
        <f t="shared" si="450"/>
        <v>215770.8467</v>
      </c>
      <c r="R545" s="172"/>
    </row>
    <row r="546" ht="14.25" customHeight="1" outlineLevel="1">
      <c r="A546" s="1"/>
      <c r="B546" s="163"/>
      <c r="C546" s="163"/>
      <c r="D546" s="164"/>
      <c r="E546" s="164">
        <v>443.0</v>
      </c>
      <c r="F546" s="165">
        <f t="shared" si="5"/>
        <v>814453.8692</v>
      </c>
      <c r="G546" s="166">
        <f t="shared" si="2"/>
        <v>468.3109748</v>
      </c>
      <c r="H546" s="167">
        <f t="shared" si="3"/>
        <v>51458.73274</v>
      </c>
      <c r="I546" s="168">
        <f t="shared" si="6"/>
        <v>68093.62712</v>
      </c>
      <c r="J546" s="1"/>
      <c r="K546" s="164"/>
      <c r="L546" s="164">
        <v>443.0</v>
      </c>
      <c r="M546" s="165">
        <f t="shared" si="7"/>
        <v>762995.1365</v>
      </c>
      <c r="N546" s="166">
        <f t="shared" si="8"/>
        <v>448.4855902</v>
      </c>
      <c r="O546" s="169">
        <f t="shared" si="9"/>
        <v>71787.78518</v>
      </c>
      <c r="P546" s="170">
        <f t="shared" ref="P546:Q546" si="451">P545+$L$7</f>
        <v>216259.016</v>
      </c>
      <c r="Q546" s="171">
        <f t="shared" si="451"/>
        <v>216259.016</v>
      </c>
      <c r="R546" s="172"/>
    </row>
    <row r="547" ht="14.25" customHeight="1" outlineLevel="1">
      <c r="A547" s="1"/>
      <c r="B547" s="163"/>
      <c r="C547" s="163"/>
      <c r="D547" s="164">
        <v>37.0</v>
      </c>
      <c r="E547" s="164">
        <v>444.0</v>
      </c>
      <c r="F547" s="165">
        <f t="shared" si="5"/>
        <v>819078.8805</v>
      </c>
      <c r="G547" s="166">
        <f t="shared" si="2"/>
        <v>470.9703563</v>
      </c>
      <c r="H547" s="167">
        <f t="shared" si="3"/>
        <v>51729.75042</v>
      </c>
      <c r="I547" s="168">
        <f t="shared" si="6"/>
        <v>68564.59748</v>
      </c>
      <c r="J547" s="1"/>
      <c r="K547" s="164">
        <v>37.0</v>
      </c>
      <c r="L547" s="164">
        <v>444.0</v>
      </c>
      <c r="M547" s="165">
        <f t="shared" si="7"/>
        <v>767349.1301</v>
      </c>
      <c r="N547" s="166">
        <f t="shared" si="8"/>
        <v>450.9891365</v>
      </c>
      <c r="O547" s="169">
        <f t="shared" si="9"/>
        <v>72238.77431</v>
      </c>
      <c r="P547" s="170">
        <f t="shared" ref="P547:Q547" si="452">P546+$L$7</f>
        <v>216747.1853</v>
      </c>
      <c r="Q547" s="171">
        <f t="shared" si="452"/>
        <v>216747.1853</v>
      </c>
      <c r="R547" s="172"/>
    </row>
    <row r="548" ht="14.25" customHeight="1" outlineLevel="1">
      <c r="A548" s="1"/>
      <c r="B548" s="163"/>
      <c r="C548" s="163"/>
      <c r="D548" s="164"/>
      <c r="E548" s="164">
        <v>445.0</v>
      </c>
      <c r="F548" s="165">
        <f t="shared" si="5"/>
        <v>823727.3678</v>
      </c>
      <c r="G548" s="166">
        <f t="shared" si="2"/>
        <v>473.6432365</v>
      </c>
      <c r="H548" s="167">
        <f t="shared" si="3"/>
        <v>52002.14375</v>
      </c>
      <c r="I548" s="168">
        <f t="shared" si="6"/>
        <v>69038.24072</v>
      </c>
      <c r="J548" s="1"/>
      <c r="K548" s="164"/>
      <c r="L548" s="164">
        <v>445.0</v>
      </c>
      <c r="M548" s="165">
        <f t="shared" si="7"/>
        <v>771725.224</v>
      </c>
      <c r="N548" s="166">
        <f t="shared" si="8"/>
        <v>453.5053905</v>
      </c>
      <c r="O548" s="169">
        <f t="shared" si="9"/>
        <v>72692.27971</v>
      </c>
      <c r="P548" s="170">
        <f t="shared" ref="P548:Q548" si="453">P547+$L$7</f>
        <v>217235.3547</v>
      </c>
      <c r="Q548" s="171">
        <f t="shared" si="453"/>
        <v>217235.3547</v>
      </c>
      <c r="R548" s="172"/>
    </row>
    <row r="549" ht="14.25" customHeight="1" outlineLevel="1">
      <c r="A549" s="1"/>
      <c r="B549" s="163"/>
      <c r="C549" s="163"/>
      <c r="D549" s="164"/>
      <c r="E549" s="164">
        <v>446.0</v>
      </c>
      <c r="F549" s="165">
        <f t="shared" si="5"/>
        <v>828399.4503</v>
      </c>
      <c r="G549" s="166">
        <f t="shared" si="2"/>
        <v>476.3296839</v>
      </c>
      <c r="H549" s="167">
        <f t="shared" si="3"/>
        <v>52275.91972</v>
      </c>
      <c r="I549" s="168">
        <f t="shared" si="6"/>
        <v>69514.5704</v>
      </c>
      <c r="J549" s="1"/>
      <c r="K549" s="164"/>
      <c r="L549" s="164">
        <v>446.0</v>
      </c>
      <c r="M549" s="165">
        <f t="shared" si="7"/>
        <v>776123.5306</v>
      </c>
      <c r="N549" s="166">
        <f t="shared" si="8"/>
        <v>456.0344168</v>
      </c>
      <c r="O549" s="169">
        <f t="shared" si="9"/>
        <v>73148.31412</v>
      </c>
      <c r="P549" s="170">
        <f t="shared" ref="P549:Q549" si="454">P548+$L$7</f>
        <v>217723.524</v>
      </c>
      <c r="Q549" s="171">
        <f t="shared" si="454"/>
        <v>217723.524</v>
      </c>
      <c r="R549" s="172"/>
    </row>
    <row r="550" ht="14.25" customHeight="1" outlineLevel="1">
      <c r="A550" s="1"/>
      <c r="B550" s="163"/>
      <c r="C550" s="163"/>
      <c r="D550" s="164"/>
      <c r="E550" s="164">
        <v>447.0</v>
      </c>
      <c r="F550" s="165">
        <f t="shared" si="5"/>
        <v>833095.2478</v>
      </c>
      <c r="G550" s="166">
        <f t="shared" si="2"/>
        <v>479.0297675</v>
      </c>
      <c r="H550" s="167">
        <f t="shared" si="3"/>
        <v>52551.08535</v>
      </c>
      <c r="I550" s="168">
        <f t="shared" si="6"/>
        <v>69993.60017</v>
      </c>
      <c r="J550" s="1"/>
      <c r="K550" s="164"/>
      <c r="L550" s="164">
        <v>447.0</v>
      </c>
      <c r="M550" s="165">
        <f t="shared" si="7"/>
        <v>780544.1625</v>
      </c>
      <c r="N550" s="166">
        <f t="shared" si="8"/>
        <v>458.5762801</v>
      </c>
      <c r="O550" s="169">
        <f t="shared" si="9"/>
        <v>73606.8904</v>
      </c>
      <c r="P550" s="170">
        <f t="shared" ref="P550:Q550" si="455">P549+$L$7</f>
        <v>218211.6934</v>
      </c>
      <c r="Q550" s="171">
        <f t="shared" si="455"/>
        <v>218211.6934</v>
      </c>
      <c r="R550" s="172"/>
    </row>
    <row r="551" ht="14.25" customHeight="1" outlineLevel="1">
      <c r="A551" s="1"/>
      <c r="B551" s="163"/>
      <c r="C551" s="163"/>
      <c r="D551" s="164"/>
      <c r="E551" s="164">
        <v>448.0</v>
      </c>
      <c r="F551" s="165">
        <f t="shared" si="5"/>
        <v>837814.8807</v>
      </c>
      <c r="G551" s="166">
        <f t="shared" si="2"/>
        <v>481.7435564</v>
      </c>
      <c r="H551" s="167">
        <f t="shared" si="3"/>
        <v>52827.6477</v>
      </c>
      <c r="I551" s="168">
        <f t="shared" si="6"/>
        <v>70475.34372</v>
      </c>
      <c r="J551" s="1"/>
      <c r="K551" s="164"/>
      <c r="L551" s="164">
        <v>448.0</v>
      </c>
      <c r="M551" s="165">
        <f t="shared" si="7"/>
        <v>784987.233</v>
      </c>
      <c r="N551" s="166">
        <f t="shared" si="8"/>
        <v>461.1310457</v>
      </c>
      <c r="O551" s="169">
        <f t="shared" si="9"/>
        <v>74068.02145</v>
      </c>
      <c r="P551" s="170">
        <f t="shared" ref="P551:Q551" si="456">P550+$L$7</f>
        <v>218699.8627</v>
      </c>
      <c r="Q551" s="171">
        <f t="shared" si="456"/>
        <v>218699.8627</v>
      </c>
      <c r="R551" s="172"/>
    </row>
    <row r="552" ht="14.25" customHeight="1" outlineLevel="1">
      <c r="A552" s="1"/>
      <c r="B552" s="163"/>
      <c r="C552" s="163"/>
      <c r="D552" s="164"/>
      <c r="E552" s="164">
        <v>449.0</v>
      </c>
      <c r="F552" s="165">
        <f t="shared" si="5"/>
        <v>842558.47</v>
      </c>
      <c r="G552" s="166">
        <f t="shared" si="2"/>
        <v>484.4711202</v>
      </c>
      <c r="H552" s="167">
        <f t="shared" si="3"/>
        <v>53105.61384</v>
      </c>
      <c r="I552" s="168">
        <f t="shared" si="6"/>
        <v>70959.81485</v>
      </c>
      <c r="J552" s="1"/>
      <c r="K552" s="164"/>
      <c r="L552" s="164">
        <v>449.0</v>
      </c>
      <c r="M552" s="165">
        <f t="shared" si="7"/>
        <v>789452.8561</v>
      </c>
      <c r="N552" s="166">
        <f t="shared" si="8"/>
        <v>463.698779</v>
      </c>
      <c r="O552" s="169">
        <f t="shared" si="9"/>
        <v>74531.72023</v>
      </c>
      <c r="P552" s="170">
        <f t="shared" ref="P552:Q552" si="457">P551+$L$7</f>
        <v>219188.032</v>
      </c>
      <c r="Q552" s="171">
        <f t="shared" si="457"/>
        <v>219188.032</v>
      </c>
      <c r="R552" s="172"/>
    </row>
    <row r="553" ht="14.25" customHeight="1" outlineLevel="1">
      <c r="A553" s="1"/>
      <c r="B553" s="163"/>
      <c r="C553" s="163"/>
      <c r="D553" s="164"/>
      <c r="E553" s="164">
        <v>450.0</v>
      </c>
      <c r="F553" s="165">
        <f t="shared" si="5"/>
        <v>847326.1372</v>
      </c>
      <c r="G553" s="166">
        <f t="shared" si="2"/>
        <v>487.2125289</v>
      </c>
      <c r="H553" s="167">
        <f t="shared" si="3"/>
        <v>53384.99091</v>
      </c>
      <c r="I553" s="168">
        <f t="shared" si="6"/>
        <v>71447.02737</v>
      </c>
      <c r="J553" s="1"/>
      <c r="K553" s="164"/>
      <c r="L553" s="164">
        <v>450.0</v>
      </c>
      <c r="M553" s="165">
        <f t="shared" si="7"/>
        <v>793941.1463</v>
      </c>
      <c r="N553" s="166">
        <f t="shared" si="8"/>
        <v>466.2795458</v>
      </c>
      <c r="O553" s="169">
        <f t="shared" si="9"/>
        <v>74997.99977</v>
      </c>
      <c r="P553" s="170">
        <f t="shared" ref="P553:Q553" si="458">P552+$L$7</f>
        <v>219676.2014</v>
      </c>
      <c r="Q553" s="171">
        <f t="shared" si="458"/>
        <v>219676.2014</v>
      </c>
      <c r="R553" s="172"/>
    </row>
    <row r="554" ht="14.25" customHeight="1" outlineLevel="1">
      <c r="A554" s="1"/>
      <c r="B554" s="163"/>
      <c r="C554" s="163"/>
      <c r="D554" s="164"/>
      <c r="E554" s="164">
        <v>451.0</v>
      </c>
      <c r="F554" s="165">
        <f t="shared" si="5"/>
        <v>852118.0046</v>
      </c>
      <c r="G554" s="166">
        <f t="shared" si="2"/>
        <v>489.9678526</v>
      </c>
      <c r="H554" s="167">
        <f t="shared" si="3"/>
        <v>53665.78607</v>
      </c>
      <c r="I554" s="168">
        <f t="shared" si="6"/>
        <v>71936.99523</v>
      </c>
      <c r="J554" s="1"/>
      <c r="K554" s="164"/>
      <c r="L554" s="164">
        <v>451.0</v>
      </c>
      <c r="M554" s="165">
        <f t="shared" si="7"/>
        <v>798452.2185</v>
      </c>
      <c r="N554" s="166">
        <f t="shared" si="8"/>
        <v>468.8734124</v>
      </c>
      <c r="O554" s="169">
        <f t="shared" si="9"/>
        <v>75466.87319</v>
      </c>
      <c r="P554" s="170">
        <f t="shared" ref="P554:Q554" si="459">P553+$L$7</f>
        <v>220164.3707</v>
      </c>
      <c r="Q554" s="171">
        <f t="shared" si="459"/>
        <v>220164.3707</v>
      </c>
      <c r="R554" s="172"/>
    </row>
    <row r="555" ht="14.25" customHeight="1" outlineLevel="1">
      <c r="A555" s="1"/>
      <c r="B555" s="163"/>
      <c r="C555" s="163"/>
      <c r="D555" s="164"/>
      <c r="E555" s="164">
        <v>452.0</v>
      </c>
      <c r="F555" s="165">
        <f t="shared" si="5"/>
        <v>856934.195</v>
      </c>
      <c r="G555" s="166">
        <f t="shared" si="2"/>
        <v>492.7371621</v>
      </c>
      <c r="H555" s="167">
        <f t="shared" si="3"/>
        <v>53948.00651</v>
      </c>
      <c r="I555" s="168">
        <f t="shared" si="6"/>
        <v>72429.73239</v>
      </c>
      <c r="J555" s="1"/>
      <c r="K555" s="164"/>
      <c r="L555" s="164">
        <v>452.0</v>
      </c>
      <c r="M555" s="165">
        <f t="shared" si="7"/>
        <v>802986.1885</v>
      </c>
      <c r="N555" s="166">
        <f t="shared" si="8"/>
        <v>471.4804451</v>
      </c>
      <c r="O555" s="169">
        <f t="shared" si="9"/>
        <v>75938.35363</v>
      </c>
      <c r="P555" s="170">
        <f t="shared" ref="P555:Q555" si="460">P554+$L$7</f>
        <v>220652.54</v>
      </c>
      <c r="Q555" s="171">
        <f t="shared" si="460"/>
        <v>220652.54</v>
      </c>
      <c r="R555" s="172"/>
    </row>
    <row r="556" ht="14.25" customHeight="1" outlineLevel="1">
      <c r="A556" s="1"/>
      <c r="B556" s="163"/>
      <c r="C556" s="163"/>
      <c r="D556" s="164"/>
      <c r="E556" s="164">
        <v>453.0</v>
      </c>
      <c r="F556" s="165">
        <f t="shared" si="5"/>
        <v>861774.8319</v>
      </c>
      <c r="G556" s="166">
        <f t="shared" si="2"/>
        <v>495.5205283</v>
      </c>
      <c r="H556" s="167">
        <f t="shared" si="3"/>
        <v>54231.65948</v>
      </c>
      <c r="I556" s="168">
        <f t="shared" si="6"/>
        <v>72925.25292</v>
      </c>
      <c r="J556" s="1"/>
      <c r="K556" s="164"/>
      <c r="L556" s="164">
        <v>453.0</v>
      </c>
      <c r="M556" s="165">
        <f t="shared" si="7"/>
        <v>807543.1724</v>
      </c>
      <c r="N556" s="166">
        <f t="shared" si="8"/>
        <v>474.1007108</v>
      </c>
      <c r="O556" s="169">
        <f t="shared" si="9"/>
        <v>76412.45434</v>
      </c>
      <c r="P556" s="170">
        <f t="shared" ref="P556:Q556" si="461">P555+$L$7</f>
        <v>221140.7094</v>
      </c>
      <c r="Q556" s="171">
        <f t="shared" si="461"/>
        <v>221140.7094</v>
      </c>
      <c r="R556" s="172"/>
    </row>
    <row r="557" ht="14.25" customHeight="1" outlineLevel="1">
      <c r="A557" s="1"/>
      <c r="B557" s="163"/>
      <c r="C557" s="163"/>
      <c r="D557" s="164"/>
      <c r="E557" s="164">
        <v>454.0</v>
      </c>
      <c r="F557" s="165">
        <f t="shared" si="5"/>
        <v>866640.0393</v>
      </c>
      <c r="G557" s="166">
        <f t="shared" si="2"/>
        <v>498.3180226</v>
      </c>
      <c r="H557" s="167">
        <f t="shared" si="3"/>
        <v>54516.75224</v>
      </c>
      <c r="I557" s="168">
        <f t="shared" si="6"/>
        <v>73423.57094</v>
      </c>
      <c r="J557" s="1"/>
      <c r="K557" s="164"/>
      <c r="L557" s="164">
        <v>454.0</v>
      </c>
      <c r="M557" s="165">
        <f t="shared" si="7"/>
        <v>812123.287</v>
      </c>
      <c r="N557" s="166">
        <f t="shared" si="8"/>
        <v>476.7342768</v>
      </c>
      <c r="O557" s="169">
        <f t="shared" si="9"/>
        <v>76889.18862</v>
      </c>
      <c r="P557" s="170">
        <f t="shared" ref="P557:Q557" si="462">P556+$L$7</f>
        <v>221628.8787</v>
      </c>
      <c r="Q557" s="171">
        <f t="shared" si="462"/>
        <v>221628.8787</v>
      </c>
      <c r="R557" s="172"/>
    </row>
    <row r="558" ht="14.25" customHeight="1" outlineLevel="1">
      <c r="A558" s="1"/>
      <c r="B558" s="163"/>
      <c r="C558" s="163"/>
      <c r="D558" s="164"/>
      <c r="E558" s="164">
        <v>455.0</v>
      </c>
      <c r="F558" s="165">
        <f t="shared" si="5"/>
        <v>871529.942</v>
      </c>
      <c r="G558" s="166">
        <f t="shared" si="2"/>
        <v>501.1297166</v>
      </c>
      <c r="H558" s="167">
        <f t="shared" si="3"/>
        <v>54803.2921</v>
      </c>
      <c r="I558" s="168">
        <f t="shared" si="6"/>
        <v>73924.70066</v>
      </c>
      <c r="J558" s="1"/>
      <c r="K558" s="164"/>
      <c r="L558" s="164">
        <v>455.0</v>
      </c>
      <c r="M558" s="165">
        <f t="shared" si="7"/>
        <v>816726.6499</v>
      </c>
      <c r="N558" s="166">
        <f t="shared" si="8"/>
        <v>479.3812104</v>
      </c>
      <c r="O558" s="169">
        <f t="shared" si="9"/>
        <v>77368.56983</v>
      </c>
      <c r="P558" s="170">
        <f t="shared" ref="P558:Q558" si="463">P557+$L$7</f>
        <v>222117.048</v>
      </c>
      <c r="Q558" s="171">
        <f t="shared" si="463"/>
        <v>222117.048</v>
      </c>
      <c r="R558" s="172"/>
    </row>
    <row r="559" ht="14.25" customHeight="1" outlineLevel="1">
      <c r="A559" s="1"/>
      <c r="B559" s="163"/>
      <c r="C559" s="163"/>
      <c r="D559" s="164">
        <v>38.0</v>
      </c>
      <c r="E559" s="164">
        <v>456.0</v>
      </c>
      <c r="F559" s="165">
        <f t="shared" si="5"/>
        <v>876444.6653</v>
      </c>
      <c r="G559" s="166">
        <f t="shared" si="2"/>
        <v>503.9556826</v>
      </c>
      <c r="H559" s="167">
        <f t="shared" si="3"/>
        <v>55091.2864</v>
      </c>
      <c r="I559" s="168">
        <f t="shared" si="6"/>
        <v>74428.65634</v>
      </c>
      <c r="J559" s="1"/>
      <c r="K559" s="164">
        <v>38.0</v>
      </c>
      <c r="L559" s="164">
        <v>456.0</v>
      </c>
      <c r="M559" s="165">
        <f t="shared" si="7"/>
        <v>821353.3789</v>
      </c>
      <c r="N559" s="166">
        <f t="shared" si="8"/>
        <v>482.0415796</v>
      </c>
      <c r="O559" s="169">
        <f t="shared" si="9"/>
        <v>77850.61141</v>
      </c>
      <c r="P559" s="170">
        <f t="shared" ref="P559:Q559" si="464">P558+$L$7</f>
        <v>222605.2174</v>
      </c>
      <c r="Q559" s="171">
        <f t="shared" si="464"/>
        <v>222605.2174</v>
      </c>
      <c r="R559" s="172"/>
    </row>
    <row r="560" ht="14.25" customHeight="1" outlineLevel="1">
      <c r="A560" s="1"/>
      <c r="B560" s="163"/>
      <c r="C560" s="163"/>
      <c r="D560" s="164"/>
      <c r="E560" s="164">
        <v>457.0</v>
      </c>
      <c r="F560" s="165">
        <f t="shared" si="5"/>
        <v>881384.3353</v>
      </c>
      <c r="G560" s="166">
        <f t="shared" si="2"/>
        <v>506.7959928</v>
      </c>
      <c r="H560" s="167">
        <f t="shared" si="3"/>
        <v>55380.74254</v>
      </c>
      <c r="I560" s="168">
        <f t="shared" si="6"/>
        <v>74935.45233</v>
      </c>
      <c r="J560" s="1"/>
      <c r="K560" s="164"/>
      <c r="L560" s="164">
        <v>457.0</v>
      </c>
      <c r="M560" s="165">
        <f t="shared" si="7"/>
        <v>826003.5928</v>
      </c>
      <c r="N560" s="166">
        <f t="shared" si="8"/>
        <v>484.7154526</v>
      </c>
      <c r="O560" s="169">
        <f t="shared" si="9"/>
        <v>78335.32686</v>
      </c>
      <c r="P560" s="170">
        <f t="shared" ref="P560:Q560" si="465">P559+$L$7</f>
        <v>223093.3867</v>
      </c>
      <c r="Q560" s="171">
        <f t="shared" si="465"/>
        <v>223093.3867</v>
      </c>
      <c r="R560" s="172"/>
    </row>
    <row r="561" ht="14.25" customHeight="1" outlineLevel="1">
      <c r="A561" s="1"/>
      <c r="B561" s="163"/>
      <c r="C561" s="163"/>
      <c r="D561" s="164"/>
      <c r="E561" s="164">
        <v>458.0</v>
      </c>
      <c r="F561" s="165">
        <f t="shared" si="5"/>
        <v>886349.0785</v>
      </c>
      <c r="G561" s="166">
        <f t="shared" si="2"/>
        <v>509.6507201</v>
      </c>
      <c r="H561" s="167">
        <f t="shared" si="3"/>
        <v>55671.66792</v>
      </c>
      <c r="I561" s="168">
        <f t="shared" si="6"/>
        <v>75445.10305</v>
      </c>
      <c r="J561" s="1"/>
      <c r="K561" s="164"/>
      <c r="L561" s="164">
        <v>458.0</v>
      </c>
      <c r="M561" s="165">
        <f t="shared" si="7"/>
        <v>830677.4106</v>
      </c>
      <c r="N561" s="166">
        <f t="shared" si="8"/>
        <v>487.4028978</v>
      </c>
      <c r="O561" s="169">
        <f t="shared" si="9"/>
        <v>78822.72976</v>
      </c>
      <c r="P561" s="170">
        <f t="shared" ref="P561:Q561" si="466">P560+$L$7</f>
        <v>223581.5561</v>
      </c>
      <c r="Q561" s="171">
        <f t="shared" si="466"/>
        <v>223581.5561</v>
      </c>
      <c r="R561" s="172"/>
    </row>
    <row r="562" ht="14.25" customHeight="1" outlineLevel="1">
      <c r="A562" s="1"/>
      <c r="B562" s="163"/>
      <c r="C562" s="163"/>
      <c r="D562" s="164"/>
      <c r="E562" s="164">
        <v>459.0</v>
      </c>
      <c r="F562" s="165">
        <f t="shared" si="5"/>
        <v>891339.0222</v>
      </c>
      <c r="G562" s="166">
        <f t="shared" si="2"/>
        <v>512.5199378</v>
      </c>
      <c r="H562" s="167">
        <f t="shared" si="3"/>
        <v>55964.07001</v>
      </c>
      <c r="I562" s="168">
        <f t="shared" si="6"/>
        <v>75957.62299</v>
      </c>
      <c r="J562" s="1"/>
      <c r="K562" s="164"/>
      <c r="L562" s="164">
        <v>459.0</v>
      </c>
      <c r="M562" s="165">
        <f t="shared" si="7"/>
        <v>835374.9522</v>
      </c>
      <c r="N562" s="166">
        <f t="shared" si="8"/>
        <v>490.1039842</v>
      </c>
      <c r="O562" s="169">
        <f t="shared" si="9"/>
        <v>79312.83374</v>
      </c>
      <c r="P562" s="170">
        <f t="shared" ref="P562:Q562" si="467">P561+$L$7</f>
        <v>224069.7254</v>
      </c>
      <c r="Q562" s="171">
        <f t="shared" si="467"/>
        <v>224069.7254</v>
      </c>
      <c r="R562" s="172"/>
    </row>
    <row r="563" ht="14.25" customHeight="1" outlineLevel="1">
      <c r="A563" s="1"/>
      <c r="B563" s="163"/>
      <c r="C563" s="163"/>
      <c r="D563" s="164"/>
      <c r="E563" s="164">
        <v>460.0</v>
      </c>
      <c r="F563" s="165">
        <f t="shared" si="5"/>
        <v>896354.2943</v>
      </c>
      <c r="G563" s="166">
        <f t="shared" si="2"/>
        <v>515.4037192</v>
      </c>
      <c r="H563" s="167">
        <f t="shared" si="3"/>
        <v>56257.9563</v>
      </c>
      <c r="I563" s="168">
        <f t="shared" si="6"/>
        <v>76473.02671</v>
      </c>
      <c r="J563" s="1"/>
      <c r="K563" s="164"/>
      <c r="L563" s="164">
        <v>460.0</v>
      </c>
      <c r="M563" s="165">
        <f t="shared" si="7"/>
        <v>840096.338</v>
      </c>
      <c r="N563" s="166">
        <f t="shared" si="8"/>
        <v>492.8187811</v>
      </c>
      <c r="O563" s="169">
        <f t="shared" si="9"/>
        <v>79805.65252</v>
      </c>
      <c r="P563" s="170">
        <f t="shared" ref="P563:Q563" si="468">P562+$L$7</f>
        <v>224557.8947</v>
      </c>
      <c r="Q563" s="171">
        <f t="shared" si="468"/>
        <v>224557.8947</v>
      </c>
      <c r="R563" s="172"/>
    </row>
    <row r="564" ht="14.25" customHeight="1" outlineLevel="1">
      <c r="A564" s="1"/>
      <c r="B564" s="163"/>
      <c r="C564" s="163"/>
      <c r="D564" s="164"/>
      <c r="E564" s="164">
        <v>461.0</v>
      </c>
      <c r="F564" s="165">
        <f t="shared" si="5"/>
        <v>901395.0235</v>
      </c>
      <c r="G564" s="166">
        <f t="shared" si="2"/>
        <v>518.3021385</v>
      </c>
      <c r="H564" s="167">
        <f t="shared" si="3"/>
        <v>56553.33433</v>
      </c>
      <c r="I564" s="168">
        <f t="shared" si="6"/>
        <v>76991.32885</v>
      </c>
      <c r="J564" s="1"/>
      <c r="K564" s="164"/>
      <c r="L564" s="164">
        <v>461.0</v>
      </c>
      <c r="M564" s="165">
        <f t="shared" si="7"/>
        <v>844841.6891</v>
      </c>
      <c r="N564" s="166">
        <f t="shared" si="8"/>
        <v>495.547358</v>
      </c>
      <c r="O564" s="169">
        <f t="shared" si="9"/>
        <v>80301.19988</v>
      </c>
      <c r="P564" s="170">
        <f t="shared" ref="P564:Q564" si="469">P563+$L$7</f>
        <v>225046.0641</v>
      </c>
      <c r="Q564" s="171">
        <f t="shared" si="469"/>
        <v>225046.0641</v>
      </c>
      <c r="R564" s="172"/>
    </row>
    <row r="565" ht="14.25" customHeight="1" outlineLevel="1">
      <c r="A565" s="1"/>
      <c r="B565" s="163"/>
      <c r="C565" s="163"/>
      <c r="D565" s="164"/>
      <c r="E565" s="164">
        <v>462.0</v>
      </c>
      <c r="F565" s="165">
        <f t="shared" si="5"/>
        <v>906461.3388</v>
      </c>
      <c r="G565" s="166">
        <f t="shared" si="2"/>
        <v>521.2152698</v>
      </c>
      <c r="H565" s="167">
        <f t="shared" si="3"/>
        <v>56850.21167</v>
      </c>
      <c r="I565" s="168">
        <f t="shared" si="6"/>
        <v>77512.54412</v>
      </c>
      <c r="J565" s="1"/>
      <c r="K565" s="164"/>
      <c r="L565" s="164">
        <v>462.0</v>
      </c>
      <c r="M565" s="165">
        <f t="shared" si="7"/>
        <v>849611.1271</v>
      </c>
      <c r="N565" s="166">
        <f t="shared" si="8"/>
        <v>498.2897848</v>
      </c>
      <c r="O565" s="169">
        <f t="shared" si="9"/>
        <v>80799.48967</v>
      </c>
      <c r="P565" s="170">
        <f t="shared" ref="P565:Q565" si="470">P564+$L$7</f>
        <v>225534.2334</v>
      </c>
      <c r="Q565" s="171">
        <f t="shared" si="470"/>
        <v>225534.2334</v>
      </c>
      <c r="R565" s="172"/>
    </row>
    <row r="566" ht="14.25" customHeight="1" outlineLevel="1">
      <c r="A566" s="1"/>
      <c r="B566" s="163"/>
      <c r="C566" s="163"/>
      <c r="D566" s="164"/>
      <c r="E566" s="164">
        <v>463.0</v>
      </c>
      <c r="F566" s="165">
        <f t="shared" si="5"/>
        <v>911553.3702</v>
      </c>
      <c r="G566" s="166">
        <f t="shared" si="2"/>
        <v>524.1431879</v>
      </c>
      <c r="H566" s="167">
        <f t="shared" si="3"/>
        <v>57148.59592</v>
      </c>
      <c r="I566" s="168">
        <f t="shared" si="6"/>
        <v>78036.68731</v>
      </c>
      <c r="J566" s="1"/>
      <c r="K566" s="164"/>
      <c r="L566" s="164">
        <v>463.0</v>
      </c>
      <c r="M566" s="165">
        <f t="shared" si="7"/>
        <v>854404.7743</v>
      </c>
      <c r="N566" s="166">
        <f t="shared" si="8"/>
        <v>501.046132</v>
      </c>
      <c r="O566" s="169">
        <f t="shared" si="9"/>
        <v>81300.5358</v>
      </c>
      <c r="P566" s="170">
        <f t="shared" ref="P566:Q566" si="471">P565+$L$7</f>
        <v>226022.4027</v>
      </c>
      <c r="Q566" s="171">
        <f t="shared" si="471"/>
        <v>226022.4027</v>
      </c>
      <c r="R566" s="172"/>
    </row>
    <row r="567" ht="14.25" customHeight="1" outlineLevel="1">
      <c r="A567" s="1"/>
      <c r="B567" s="163"/>
      <c r="C567" s="163"/>
      <c r="D567" s="164"/>
      <c r="E567" s="164">
        <v>464.0</v>
      </c>
      <c r="F567" s="165">
        <f t="shared" si="5"/>
        <v>916671.2483</v>
      </c>
      <c r="G567" s="166">
        <f t="shared" si="2"/>
        <v>527.0859677</v>
      </c>
      <c r="H567" s="167">
        <f t="shared" si="3"/>
        <v>57448.49474</v>
      </c>
      <c r="I567" s="168">
        <f t="shared" si="6"/>
        <v>78563.77327</v>
      </c>
      <c r="J567" s="1"/>
      <c r="K567" s="164"/>
      <c r="L567" s="164">
        <v>464.0</v>
      </c>
      <c r="M567" s="165">
        <f t="shared" si="7"/>
        <v>859222.7535</v>
      </c>
      <c r="N567" s="166">
        <f t="shared" si="8"/>
        <v>503.81647</v>
      </c>
      <c r="O567" s="169">
        <f t="shared" si="9"/>
        <v>81804.35227</v>
      </c>
      <c r="P567" s="170">
        <f t="shared" ref="P567:Q567" si="472">P566+$L$7</f>
        <v>226510.5721</v>
      </c>
      <c r="Q567" s="171">
        <f t="shared" si="472"/>
        <v>226510.5721</v>
      </c>
      <c r="R567" s="172"/>
    </row>
    <row r="568" ht="14.25" customHeight="1" outlineLevel="1">
      <c r="A568" s="1"/>
      <c r="B568" s="163"/>
      <c r="C568" s="163"/>
      <c r="D568" s="164"/>
      <c r="E568" s="164">
        <v>465.0</v>
      </c>
      <c r="F568" s="165">
        <f t="shared" si="5"/>
        <v>921815.1041</v>
      </c>
      <c r="G568" s="166">
        <f t="shared" si="2"/>
        <v>530.0436849</v>
      </c>
      <c r="H568" s="167">
        <f t="shared" si="3"/>
        <v>57749.91581</v>
      </c>
      <c r="I568" s="168">
        <f t="shared" si="6"/>
        <v>79093.81696</v>
      </c>
      <c r="J568" s="1"/>
      <c r="K568" s="164"/>
      <c r="L568" s="164">
        <v>465.0</v>
      </c>
      <c r="M568" s="165">
        <f t="shared" si="7"/>
        <v>864065.1883</v>
      </c>
      <c r="N568" s="166">
        <f t="shared" si="8"/>
        <v>506.60087</v>
      </c>
      <c r="O568" s="169">
        <f t="shared" si="9"/>
        <v>82310.95314</v>
      </c>
      <c r="P568" s="170">
        <f t="shared" ref="P568:Q568" si="473">P567+$L$7</f>
        <v>226998.7414</v>
      </c>
      <c r="Q568" s="171">
        <f t="shared" si="473"/>
        <v>226998.7414</v>
      </c>
      <c r="R568" s="172"/>
    </row>
    <row r="569" ht="14.25" customHeight="1" outlineLevel="1">
      <c r="A569" s="1"/>
      <c r="B569" s="163"/>
      <c r="C569" s="163"/>
      <c r="D569" s="164"/>
      <c r="E569" s="164">
        <v>466.0</v>
      </c>
      <c r="F569" s="165">
        <f t="shared" si="5"/>
        <v>926985.0696</v>
      </c>
      <c r="G569" s="166">
        <f t="shared" si="2"/>
        <v>533.016415</v>
      </c>
      <c r="H569" s="167">
        <f t="shared" si="3"/>
        <v>58052.86687</v>
      </c>
      <c r="I569" s="168">
        <f t="shared" si="6"/>
        <v>79626.83337</v>
      </c>
      <c r="J569" s="1"/>
      <c r="K569" s="164"/>
      <c r="L569" s="164">
        <v>466.0</v>
      </c>
      <c r="M569" s="165">
        <f t="shared" si="7"/>
        <v>868932.2027</v>
      </c>
      <c r="N569" s="166">
        <f t="shared" si="8"/>
        <v>509.3994033</v>
      </c>
      <c r="O569" s="169">
        <f t="shared" si="9"/>
        <v>82820.35254</v>
      </c>
      <c r="P569" s="170">
        <f t="shared" ref="P569:Q569" si="474">P568+$L$7</f>
        <v>227486.9107</v>
      </c>
      <c r="Q569" s="171">
        <f t="shared" si="474"/>
        <v>227486.9107</v>
      </c>
      <c r="R569" s="172"/>
    </row>
    <row r="570" ht="14.25" customHeight="1" outlineLevel="1">
      <c r="A570" s="1"/>
      <c r="B570" s="163"/>
      <c r="C570" s="163"/>
      <c r="D570" s="164"/>
      <c r="E570" s="164">
        <v>467.0</v>
      </c>
      <c r="F570" s="165">
        <f t="shared" si="5"/>
        <v>932181.2773</v>
      </c>
      <c r="G570" s="166">
        <f t="shared" si="2"/>
        <v>536.0042345</v>
      </c>
      <c r="H570" s="167">
        <f t="shared" si="3"/>
        <v>58357.35567</v>
      </c>
      <c r="I570" s="168">
        <f t="shared" si="6"/>
        <v>80162.83761</v>
      </c>
      <c r="J570" s="1"/>
      <c r="K570" s="164"/>
      <c r="L570" s="164">
        <v>467.0</v>
      </c>
      <c r="M570" s="165">
        <f t="shared" si="7"/>
        <v>873823.9216</v>
      </c>
      <c r="N570" s="166">
        <f t="shared" si="8"/>
        <v>512.2121417</v>
      </c>
      <c r="O570" s="169">
        <f t="shared" si="9"/>
        <v>83332.56468</v>
      </c>
      <c r="P570" s="170">
        <f t="shared" ref="P570:Q570" si="475">P569+$L$7</f>
        <v>227975.0801</v>
      </c>
      <c r="Q570" s="171">
        <f t="shared" si="475"/>
        <v>227975.0801</v>
      </c>
      <c r="R570" s="172"/>
    </row>
    <row r="571" ht="14.25" customHeight="1" outlineLevel="1">
      <c r="A571" s="1"/>
      <c r="B571" s="163"/>
      <c r="C571" s="163"/>
      <c r="D571" s="164">
        <v>39.0</v>
      </c>
      <c r="E571" s="164">
        <v>468.0</v>
      </c>
      <c r="F571" s="165">
        <f t="shared" si="5"/>
        <v>937403.8604</v>
      </c>
      <c r="G571" s="166">
        <f t="shared" si="2"/>
        <v>539.0072197</v>
      </c>
      <c r="H571" s="167">
        <f t="shared" si="3"/>
        <v>58663.39003</v>
      </c>
      <c r="I571" s="168">
        <f t="shared" si="6"/>
        <v>80701.84483</v>
      </c>
      <c r="J571" s="1"/>
      <c r="K571" s="164">
        <v>39.0</v>
      </c>
      <c r="L571" s="164">
        <v>468.0</v>
      </c>
      <c r="M571" s="165">
        <f t="shared" si="7"/>
        <v>878740.4704</v>
      </c>
      <c r="N571" s="166">
        <f t="shared" si="8"/>
        <v>515.0391572</v>
      </c>
      <c r="O571" s="169">
        <f t="shared" si="9"/>
        <v>83847.60384</v>
      </c>
      <c r="P571" s="170">
        <f t="shared" ref="P571:Q571" si="476">P570+$L$7</f>
        <v>228463.2494</v>
      </c>
      <c r="Q571" s="171">
        <f t="shared" si="476"/>
        <v>228463.2494</v>
      </c>
      <c r="R571" s="172"/>
    </row>
    <row r="572" ht="14.25" customHeight="1" outlineLevel="1">
      <c r="A572" s="1"/>
      <c r="B572" s="163"/>
      <c r="C572" s="163"/>
      <c r="D572" s="164"/>
      <c r="E572" s="164">
        <v>469.0</v>
      </c>
      <c r="F572" s="165">
        <f t="shared" si="5"/>
        <v>942652.9528</v>
      </c>
      <c r="G572" s="166">
        <f t="shared" si="2"/>
        <v>542.0254479</v>
      </c>
      <c r="H572" s="167">
        <f t="shared" si="3"/>
        <v>58970.97779</v>
      </c>
      <c r="I572" s="168">
        <f t="shared" si="6"/>
        <v>81243.87027</v>
      </c>
      <c r="J572" s="1"/>
      <c r="K572" s="164"/>
      <c r="L572" s="164">
        <v>469.0</v>
      </c>
      <c r="M572" s="165">
        <f t="shared" si="7"/>
        <v>883681.975</v>
      </c>
      <c r="N572" s="166">
        <f t="shared" si="8"/>
        <v>517.8805224</v>
      </c>
      <c r="O572" s="169">
        <f t="shared" si="9"/>
        <v>84365.48436</v>
      </c>
      <c r="P572" s="170">
        <f t="shared" ref="P572:Q572" si="477">P571+$L$7</f>
        <v>228951.4188</v>
      </c>
      <c r="Q572" s="171">
        <f t="shared" si="477"/>
        <v>228951.4188</v>
      </c>
      <c r="R572" s="172"/>
    </row>
    <row r="573" ht="14.25" customHeight="1" outlineLevel="1">
      <c r="A573" s="1"/>
      <c r="B573" s="163"/>
      <c r="C573" s="163"/>
      <c r="D573" s="164"/>
      <c r="E573" s="164">
        <v>470.0</v>
      </c>
      <c r="F573" s="165">
        <f t="shared" si="5"/>
        <v>947928.689</v>
      </c>
      <c r="G573" s="166">
        <f t="shared" si="2"/>
        <v>545.0589962</v>
      </c>
      <c r="H573" s="167">
        <f t="shared" si="3"/>
        <v>59280.12682</v>
      </c>
      <c r="I573" s="168">
        <f t="shared" si="6"/>
        <v>81788.92927</v>
      </c>
      <c r="J573" s="1"/>
      <c r="K573" s="164"/>
      <c r="L573" s="164">
        <v>470.0</v>
      </c>
      <c r="M573" s="165">
        <f t="shared" si="7"/>
        <v>888648.5622</v>
      </c>
      <c r="N573" s="166">
        <f t="shared" si="8"/>
        <v>520.73631</v>
      </c>
      <c r="O573" s="169">
        <f t="shared" si="9"/>
        <v>84886.22067</v>
      </c>
      <c r="P573" s="170">
        <f t="shared" ref="P573:Q573" si="478">P572+$L$7</f>
        <v>229439.5881</v>
      </c>
      <c r="Q573" s="171">
        <f t="shared" si="478"/>
        <v>229439.5881</v>
      </c>
      <c r="R573" s="172"/>
    </row>
    <row r="574" ht="14.25" customHeight="1" outlineLevel="1">
      <c r="A574" s="1"/>
      <c r="B574" s="163"/>
      <c r="C574" s="163"/>
      <c r="D574" s="164"/>
      <c r="E574" s="164">
        <v>471.0</v>
      </c>
      <c r="F574" s="165">
        <f t="shared" si="5"/>
        <v>953231.2043</v>
      </c>
      <c r="G574" s="166">
        <f t="shared" si="2"/>
        <v>548.1079425</v>
      </c>
      <c r="H574" s="167">
        <f t="shared" si="3"/>
        <v>59590.84507</v>
      </c>
      <c r="I574" s="168">
        <f t="shared" si="6"/>
        <v>82337.03721</v>
      </c>
      <c r="J574" s="1"/>
      <c r="K574" s="164"/>
      <c r="L574" s="164">
        <v>471.0</v>
      </c>
      <c r="M574" s="165">
        <f t="shared" si="7"/>
        <v>893640.3593</v>
      </c>
      <c r="N574" s="166">
        <f t="shared" si="8"/>
        <v>523.6065933</v>
      </c>
      <c r="O574" s="169">
        <f t="shared" si="9"/>
        <v>85409.82727</v>
      </c>
      <c r="P574" s="170">
        <f t="shared" ref="P574:Q574" si="479">P573+$L$7</f>
        <v>229927.7574</v>
      </c>
      <c r="Q574" s="171">
        <f t="shared" si="479"/>
        <v>229927.7574</v>
      </c>
      <c r="R574" s="172"/>
    </row>
    <row r="575" ht="14.25" customHeight="1" outlineLevel="1">
      <c r="A575" s="1"/>
      <c r="B575" s="163"/>
      <c r="C575" s="163"/>
      <c r="D575" s="164"/>
      <c r="E575" s="164">
        <v>472.0</v>
      </c>
      <c r="F575" s="165">
        <f t="shared" si="5"/>
        <v>958560.6346</v>
      </c>
      <c r="G575" s="166">
        <f t="shared" si="2"/>
        <v>551.1723649</v>
      </c>
      <c r="H575" s="167">
        <f t="shared" si="3"/>
        <v>59903.14049</v>
      </c>
      <c r="I575" s="168">
        <f t="shared" si="6"/>
        <v>82888.20958</v>
      </c>
      <c r="J575" s="1"/>
      <c r="K575" s="164"/>
      <c r="L575" s="164">
        <v>472.0</v>
      </c>
      <c r="M575" s="165">
        <f t="shared" si="7"/>
        <v>898657.4941</v>
      </c>
      <c r="N575" s="166">
        <f t="shared" si="8"/>
        <v>526.4914459</v>
      </c>
      <c r="O575" s="169">
        <f t="shared" si="9"/>
        <v>85936.31871</v>
      </c>
      <c r="P575" s="170">
        <f t="shared" ref="P575:Q575" si="480">P574+$L$7</f>
        <v>230415.9268</v>
      </c>
      <c r="Q575" s="171">
        <f t="shared" si="480"/>
        <v>230415.9268</v>
      </c>
      <c r="R575" s="172"/>
    </row>
    <row r="576" ht="14.25" customHeight="1" outlineLevel="1">
      <c r="A576" s="1"/>
      <c r="B576" s="163"/>
      <c r="C576" s="163"/>
      <c r="D576" s="164"/>
      <c r="E576" s="164">
        <v>473.0</v>
      </c>
      <c r="F576" s="165">
        <f t="shared" si="5"/>
        <v>963917.1166</v>
      </c>
      <c r="G576" s="166">
        <f t="shared" si="2"/>
        <v>554.252342</v>
      </c>
      <c r="H576" s="167">
        <f t="shared" si="3"/>
        <v>60217.02108</v>
      </c>
      <c r="I576" s="168">
        <f t="shared" si="6"/>
        <v>83442.46192</v>
      </c>
      <c r="J576" s="1"/>
      <c r="K576" s="164"/>
      <c r="L576" s="164">
        <v>473.0</v>
      </c>
      <c r="M576" s="165">
        <f t="shared" si="7"/>
        <v>903700.0955</v>
      </c>
      <c r="N576" s="166">
        <f t="shared" si="8"/>
        <v>529.3909416</v>
      </c>
      <c r="O576" s="169">
        <f t="shared" si="9"/>
        <v>86465.70965</v>
      </c>
      <c r="P576" s="170">
        <f t="shared" ref="P576:Q576" si="481">P575+$L$7</f>
        <v>230904.0961</v>
      </c>
      <c r="Q576" s="171">
        <f t="shared" si="481"/>
        <v>230904.0961</v>
      </c>
      <c r="R576" s="172"/>
    </row>
    <row r="577" ht="14.25" customHeight="1" outlineLevel="1">
      <c r="A577" s="1"/>
      <c r="B577" s="163"/>
      <c r="C577" s="163"/>
      <c r="D577" s="164"/>
      <c r="E577" s="164">
        <v>474.0</v>
      </c>
      <c r="F577" s="165">
        <f t="shared" si="5"/>
        <v>969300.7874</v>
      </c>
      <c r="G577" s="166">
        <f t="shared" si="2"/>
        <v>557.3479528</v>
      </c>
      <c r="H577" s="167">
        <f t="shared" si="3"/>
        <v>60532.49491</v>
      </c>
      <c r="I577" s="168">
        <f t="shared" si="6"/>
        <v>83999.80987</v>
      </c>
      <c r="J577" s="1"/>
      <c r="K577" s="164"/>
      <c r="L577" s="164">
        <v>474.0</v>
      </c>
      <c r="M577" s="165">
        <f t="shared" si="7"/>
        <v>908768.2925</v>
      </c>
      <c r="N577" s="166">
        <f t="shared" si="8"/>
        <v>532.3051549</v>
      </c>
      <c r="O577" s="169">
        <f t="shared" si="9"/>
        <v>86998.01481</v>
      </c>
      <c r="P577" s="170">
        <f t="shared" ref="P577:Q577" si="482">P576+$L$7</f>
        <v>231392.2654</v>
      </c>
      <c r="Q577" s="171">
        <f t="shared" si="482"/>
        <v>231392.2654</v>
      </c>
      <c r="R577" s="172"/>
    </row>
    <row r="578" ht="14.25" customHeight="1" outlineLevel="1">
      <c r="A578" s="1"/>
      <c r="B578" s="163"/>
      <c r="C578" s="163"/>
      <c r="D578" s="164"/>
      <c r="E578" s="164">
        <v>475.0</v>
      </c>
      <c r="F578" s="165">
        <f t="shared" si="5"/>
        <v>974711.7853</v>
      </c>
      <c r="G578" s="166">
        <f t="shared" si="2"/>
        <v>560.4592765</v>
      </c>
      <c r="H578" s="167">
        <f t="shared" si="3"/>
        <v>60849.57004</v>
      </c>
      <c r="I578" s="168">
        <f t="shared" si="6"/>
        <v>84560.26915</v>
      </c>
      <c r="J578" s="1"/>
      <c r="K578" s="164"/>
      <c r="L578" s="164">
        <v>475.0</v>
      </c>
      <c r="M578" s="165">
        <f t="shared" si="7"/>
        <v>913862.2152</v>
      </c>
      <c r="N578" s="166">
        <f t="shared" si="8"/>
        <v>535.2341605</v>
      </c>
      <c r="O578" s="169">
        <f t="shared" si="9"/>
        <v>87533.24897</v>
      </c>
      <c r="P578" s="170">
        <f t="shared" ref="P578:Q578" si="483">P577+$L$7</f>
        <v>231880.4348</v>
      </c>
      <c r="Q578" s="171">
        <f t="shared" si="483"/>
        <v>231880.4348</v>
      </c>
      <c r="R578" s="172"/>
    </row>
    <row r="579" ht="14.25" customHeight="1" outlineLevel="1">
      <c r="A579" s="1"/>
      <c r="B579" s="163"/>
      <c r="C579" s="163"/>
      <c r="D579" s="164"/>
      <c r="E579" s="164">
        <v>476.0</v>
      </c>
      <c r="F579" s="165">
        <f t="shared" si="5"/>
        <v>980150.2487</v>
      </c>
      <c r="G579" s="166">
        <f t="shared" si="2"/>
        <v>563.586393</v>
      </c>
      <c r="H579" s="167">
        <f t="shared" si="3"/>
        <v>61168.25461</v>
      </c>
      <c r="I579" s="168">
        <f t="shared" si="6"/>
        <v>85123.85554</v>
      </c>
      <c r="J579" s="1"/>
      <c r="K579" s="164"/>
      <c r="L579" s="164">
        <v>476.0</v>
      </c>
      <c r="M579" s="165">
        <f t="shared" si="7"/>
        <v>918981.9941</v>
      </c>
      <c r="N579" s="166">
        <f t="shared" si="8"/>
        <v>538.1780333</v>
      </c>
      <c r="O579" s="169">
        <f t="shared" si="9"/>
        <v>88071.427</v>
      </c>
      <c r="P579" s="170">
        <f t="shared" ref="P579:Q579" si="484">P578+$L$7</f>
        <v>232368.6041</v>
      </c>
      <c r="Q579" s="171">
        <f t="shared" si="484"/>
        <v>232368.6041</v>
      </c>
      <c r="R579" s="172"/>
    </row>
    <row r="580" ht="14.25" customHeight="1" outlineLevel="1">
      <c r="A580" s="1"/>
      <c r="B580" s="163"/>
      <c r="C580" s="163"/>
      <c r="D580" s="164"/>
      <c r="E580" s="164">
        <v>477.0</v>
      </c>
      <c r="F580" s="165">
        <f t="shared" si="5"/>
        <v>985616.3173</v>
      </c>
      <c r="G580" s="166">
        <f t="shared" si="2"/>
        <v>566.7293824</v>
      </c>
      <c r="H580" s="167">
        <f t="shared" si="3"/>
        <v>61488.55679</v>
      </c>
      <c r="I580" s="168">
        <f t="shared" si="6"/>
        <v>85690.58493</v>
      </c>
      <c r="J580" s="1"/>
      <c r="K580" s="164"/>
      <c r="L580" s="164">
        <v>477.0</v>
      </c>
      <c r="M580" s="165">
        <f t="shared" si="7"/>
        <v>924127.7605</v>
      </c>
      <c r="N580" s="166">
        <f t="shared" si="8"/>
        <v>541.136849</v>
      </c>
      <c r="O580" s="169">
        <f t="shared" si="9"/>
        <v>88612.56385</v>
      </c>
      <c r="P580" s="170">
        <f t="shared" ref="P580:Q580" si="485">P579+$L$7</f>
        <v>232856.7734</v>
      </c>
      <c r="Q580" s="171">
        <f t="shared" si="485"/>
        <v>232856.7734</v>
      </c>
      <c r="R580" s="172"/>
    </row>
    <row r="581" ht="14.25" customHeight="1" outlineLevel="1">
      <c r="A581" s="1"/>
      <c r="B581" s="163"/>
      <c r="C581" s="163"/>
      <c r="D581" s="164"/>
      <c r="E581" s="164">
        <v>478.0</v>
      </c>
      <c r="F581" s="165">
        <f t="shared" si="5"/>
        <v>991110.131</v>
      </c>
      <c r="G581" s="166">
        <f t="shared" si="2"/>
        <v>569.8883253</v>
      </c>
      <c r="H581" s="167">
        <f t="shared" si="3"/>
        <v>61810.4848</v>
      </c>
      <c r="I581" s="168">
        <f t="shared" si="6"/>
        <v>86260.47325</v>
      </c>
      <c r="J581" s="1"/>
      <c r="K581" s="164"/>
      <c r="L581" s="164">
        <v>478.0</v>
      </c>
      <c r="M581" s="165">
        <f t="shared" si="7"/>
        <v>929299.6462</v>
      </c>
      <c r="N581" s="166">
        <f t="shared" si="8"/>
        <v>544.1106833</v>
      </c>
      <c r="O581" s="169">
        <f t="shared" si="9"/>
        <v>89156.67453</v>
      </c>
      <c r="P581" s="170">
        <f t="shared" ref="P581:Q581" si="486">P580+$L$7</f>
        <v>233344.9428</v>
      </c>
      <c r="Q581" s="171">
        <f t="shared" si="486"/>
        <v>233344.9428</v>
      </c>
      <c r="R581" s="172"/>
    </row>
    <row r="582" ht="14.25" customHeight="1" outlineLevel="1">
      <c r="A582" s="1"/>
      <c r="B582" s="163"/>
      <c r="C582" s="163"/>
      <c r="D582" s="164"/>
      <c r="E582" s="164">
        <v>479.0</v>
      </c>
      <c r="F582" s="165">
        <f t="shared" si="5"/>
        <v>996631.8307</v>
      </c>
      <c r="G582" s="166">
        <f t="shared" si="2"/>
        <v>573.0633027</v>
      </c>
      <c r="H582" s="167">
        <f t="shared" si="3"/>
        <v>62134.04687</v>
      </c>
      <c r="I582" s="168">
        <f t="shared" si="6"/>
        <v>86833.53655</v>
      </c>
      <c r="J582" s="1"/>
      <c r="K582" s="164"/>
      <c r="L582" s="164">
        <v>479.0</v>
      </c>
      <c r="M582" s="165">
        <f t="shared" si="7"/>
        <v>934497.7838</v>
      </c>
      <c r="N582" s="166">
        <f t="shared" si="8"/>
        <v>547.0996124</v>
      </c>
      <c r="O582" s="169">
        <f t="shared" si="9"/>
        <v>89703.77415</v>
      </c>
      <c r="P582" s="170">
        <f t="shared" ref="P582:Q582" si="487">P581+$L$7</f>
        <v>233833.1121</v>
      </c>
      <c r="Q582" s="171">
        <f t="shared" si="487"/>
        <v>233833.1121</v>
      </c>
      <c r="R582" s="172"/>
    </row>
    <row r="583" ht="14.25" customHeight="1" outlineLevel="1">
      <c r="A583" s="1"/>
      <c r="B583" s="163"/>
      <c r="C583" s="163"/>
      <c r="D583" s="164">
        <v>40.0</v>
      </c>
      <c r="E583" s="164">
        <v>480.0</v>
      </c>
      <c r="F583" s="165">
        <f t="shared" si="5"/>
        <v>1002181.558</v>
      </c>
      <c r="G583" s="166">
        <f t="shared" si="2"/>
        <v>576.2543959</v>
      </c>
      <c r="H583" s="167">
        <f t="shared" si="3"/>
        <v>62459.25131</v>
      </c>
      <c r="I583" s="168">
        <f t="shared" si="6"/>
        <v>87409.79095</v>
      </c>
      <c r="J583" s="1"/>
      <c r="K583" s="164">
        <v>40.0</v>
      </c>
      <c r="L583" s="164">
        <v>480.0</v>
      </c>
      <c r="M583" s="165">
        <f t="shared" si="7"/>
        <v>939722.3067</v>
      </c>
      <c r="N583" s="166">
        <f t="shared" si="8"/>
        <v>550.1037131</v>
      </c>
      <c r="O583" s="169">
        <f t="shared" si="9"/>
        <v>90253.87786</v>
      </c>
      <c r="P583" s="170">
        <f t="shared" ref="P583:Q583" si="488">P582+$L$7</f>
        <v>234321.2815</v>
      </c>
      <c r="Q583" s="171">
        <f t="shared" si="488"/>
        <v>234321.2815</v>
      </c>
      <c r="R583" s="172"/>
    </row>
    <row r="584" ht="14.25" customHeight="1" outlineLevel="1">
      <c r="A584" s="1"/>
      <c r="B584" s="163"/>
      <c r="C584" s="163"/>
      <c r="D584" s="164"/>
      <c r="E584" s="164">
        <v>481.0</v>
      </c>
      <c r="F584" s="165">
        <f t="shared" si="5"/>
        <v>1007759.455</v>
      </c>
      <c r="G584" s="166">
        <f t="shared" si="2"/>
        <v>579.4616867</v>
      </c>
      <c r="H584" s="167">
        <f t="shared" si="3"/>
        <v>62786.10646</v>
      </c>
      <c r="I584" s="168">
        <f t="shared" si="6"/>
        <v>87989.25264</v>
      </c>
      <c r="J584" s="1"/>
      <c r="K584" s="164"/>
      <c r="L584" s="164">
        <v>481.0</v>
      </c>
      <c r="M584" s="165">
        <f t="shared" si="7"/>
        <v>944973.3487</v>
      </c>
      <c r="N584" s="166">
        <f t="shared" si="8"/>
        <v>553.1230622</v>
      </c>
      <c r="O584" s="169">
        <f t="shared" si="9"/>
        <v>90807.00092</v>
      </c>
      <c r="P584" s="170">
        <f t="shared" ref="P584:Q584" si="489">P583+$L$7</f>
        <v>234809.4508</v>
      </c>
      <c r="Q584" s="171">
        <f t="shared" si="489"/>
        <v>234809.4508</v>
      </c>
      <c r="R584" s="172"/>
    </row>
    <row r="585" ht="14.25" customHeight="1" outlineLevel="1">
      <c r="A585" s="1"/>
      <c r="B585" s="163"/>
      <c r="C585" s="163"/>
      <c r="D585" s="164"/>
      <c r="E585" s="164">
        <v>482.0</v>
      </c>
      <c r="F585" s="165">
        <f t="shared" si="5"/>
        <v>1013365.665</v>
      </c>
      <c r="G585" s="166">
        <f t="shared" si="2"/>
        <v>582.6852574</v>
      </c>
      <c r="H585" s="167">
        <f t="shared" si="3"/>
        <v>63114.62069</v>
      </c>
      <c r="I585" s="168">
        <f t="shared" si="6"/>
        <v>88571.93789</v>
      </c>
      <c r="J585" s="1"/>
      <c r="K585" s="164"/>
      <c r="L585" s="164">
        <v>482.0</v>
      </c>
      <c r="M585" s="165">
        <f t="shared" si="7"/>
        <v>950251.0444</v>
      </c>
      <c r="N585" s="166">
        <f t="shared" si="8"/>
        <v>556.1577373</v>
      </c>
      <c r="O585" s="169">
        <f t="shared" si="9"/>
        <v>91363.15866</v>
      </c>
      <c r="P585" s="170">
        <f t="shared" ref="P585:Q585" si="490">P584+$L$7</f>
        <v>235297.6201</v>
      </c>
      <c r="Q585" s="171">
        <f t="shared" si="490"/>
        <v>235297.6201</v>
      </c>
      <c r="R585" s="172"/>
    </row>
    <row r="586" ht="14.25" customHeight="1" outlineLevel="1">
      <c r="A586" s="1"/>
      <c r="B586" s="163"/>
      <c r="C586" s="163"/>
      <c r="D586" s="164"/>
      <c r="E586" s="164">
        <v>483.0</v>
      </c>
      <c r="F586" s="165">
        <f t="shared" si="5"/>
        <v>1019000.332</v>
      </c>
      <c r="G586" s="166">
        <f t="shared" si="2"/>
        <v>585.9251906</v>
      </c>
      <c r="H586" s="167">
        <f t="shared" si="3"/>
        <v>63444.80242</v>
      </c>
      <c r="I586" s="168">
        <f t="shared" si="6"/>
        <v>89157.86308</v>
      </c>
      <c r="J586" s="1"/>
      <c r="K586" s="164"/>
      <c r="L586" s="164">
        <v>483.0</v>
      </c>
      <c r="M586" s="165">
        <f t="shared" si="7"/>
        <v>955555.5291</v>
      </c>
      <c r="N586" s="166">
        <f t="shared" si="8"/>
        <v>559.207816</v>
      </c>
      <c r="O586" s="169">
        <f t="shared" si="9"/>
        <v>91922.36648</v>
      </c>
      <c r="P586" s="170">
        <f t="shared" ref="P586:Q586" si="491">P585+$L$7</f>
        <v>235785.7895</v>
      </c>
      <c r="Q586" s="171">
        <f t="shared" si="491"/>
        <v>235785.7895</v>
      </c>
      <c r="R586" s="172"/>
    </row>
    <row r="587" ht="14.25" customHeight="1" outlineLevel="1">
      <c r="A587" s="1"/>
      <c r="B587" s="163"/>
      <c r="C587" s="163"/>
      <c r="D587" s="164"/>
      <c r="E587" s="164">
        <v>484.0</v>
      </c>
      <c r="F587" s="165">
        <f t="shared" si="5"/>
        <v>1024663.599</v>
      </c>
      <c r="G587" s="166">
        <f t="shared" si="2"/>
        <v>589.1815694</v>
      </c>
      <c r="H587" s="167">
        <f t="shared" si="3"/>
        <v>63776.66012</v>
      </c>
      <c r="I587" s="168">
        <f t="shared" si="6"/>
        <v>89747.04465</v>
      </c>
      <c r="J587" s="1"/>
      <c r="K587" s="164"/>
      <c r="L587" s="164">
        <v>484.0</v>
      </c>
      <c r="M587" s="165">
        <f t="shared" si="7"/>
        <v>960886.9389</v>
      </c>
      <c r="N587" s="166">
        <f t="shared" si="8"/>
        <v>562.2733766</v>
      </c>
      <c r="O587" s="169">
        <f t="shared" si="9"/>
        <v>92484.63985</v>
      </c>
      <c r="P587" s="170">
        <f t="shared" ref="P587:Q587" si="492">P586+$L$7</f>
        <v>236273.9588</v>
      </c>
      <c r="Q587" s="171">
        <f t="shared" si="492"/>
        <v>236273.9588</v>
      </c>
      <c r="R587" s="172"/>
    </row>
    <row r="588" ht="14.25" customHeight="1" outlineLevel="1">
      <c r="A588" s="1"/>
      <c r="B588" s="163"/>
      <c r="C588" s="163"/>
      <c r="D588" s="164"/>
      <c r="E588" s="164">
        <v>485.0</v>
      </c>
      <c r="F588" s="165">
        <f t="shared" si="5"/>
        <v>1030355.613</v>
      </c>
      <c r="G588" s="166">
        <f t="shared" si="2"/>
        <v>592.4544772</v>
      </c>
      <c r="H588" s="167">
        <f t="shared" si="3"/>
        <v>64110.20229</v>
      </c>
      <c r="I588" s="168">
        <f t="shared" si="6"/>
        <v>90339.49913</v>
      </c>
      <c r="J588" s="1"/>
      <c r="K588" s="164"/>
      <c r="L588" s="164">
        <v>485.0</v>
      </c>
      <c r="M588" s="165">
        <f t="shared" si="7"/>
        <v>966245.4103</v>
      </c>
      <c r="N588" s="166">
        <f t="shared" si="8"/>
        <v>565.3544976</v>
      </c>
      <c r="O588" s="169">
        <f t="shared" si="9"/>
        <v>93049.99435</v>
      </c>
      <c r="P588" s="170">
        <f t="shared" ref="P588:Q588" si="493">P587+$L$7</f>
        <v>236762.1281</v>
      </c>
      <c r="Q588" s="171">
        <f t="shared" si="493"/>
        <v>236762.1281</v>
      </c>
      <c r="R588" s="172"/>
    </row>
    <row r="589" ht="14.25" customHeight="1" outlineLevel="1">
      <c r="A589" s="1"/>
      <c r="B589" s="163"/>
      <c r="C589" s="163"/>
      <c r="D589" s="164"/>
      <c r="E589" s="164">
        <v>486.0</v>
      </c>
      <c r="F589" s="165">
        <f t="shared" si="5"/>
        <v>1036076.518</v>
      </c>
      <c r="G589" s="166">
        <f t="shared" si="2"/>
        <v>595.743998</v>
      </c>
      <c r="H589" s="167">
        <f t="shared" si="3"/>
        <v>64445.43749</v>
      </c>
      <c r="I589" s="168">
        <f t="shared" si="6"/>
        <v>90935.24313</v>
      </c>
      <c r="J589" s="1"/>
      <c r="K589" s="164"/>
      <c r="L589" s="164">
        <v>486.0</v>
      </c>
      <c r="M589" s="165">
        <f t="shared" si="7"/>
        <v>971631.0807</v>
      </c>
      <c r="N589" s="166">
        <f t="shared" si="8"/>
        <v>568.4512582</v>
      </c>
      <c r="O589" s="169">
        <f t="shared" si="9"/>
        <v>93618.44561</v>
      </c>
      <c r="P589" s="170">
        <f t="shared" ref="P589:Q589" si="494">P588+$L$7</f>
        <v>237250.2975</v>
      </c>
      <c r="Q589" s="171">
        <f t="shared" si="494"/>
        <v>237250.2975</v>
      </c>
      <c r="R589" s="172"/>
    </row>
    <row r="590" ht="14.25" customHeight="1" outlineLevel="1">
      <c r="A590" s="1"/>
      <c r="B590" s="163"/>
      <c r="C590" s="163"/>
      <c r="D590" s="164"/>
      <c r="E590" s="164">
        <v>487.0</v>
      </c>
      <c r="F590" s="165">
        <f t="shared" si="5"/>
        <v>1041826.463</v>
      </c>
      <c r="G590" s="166">
        <f t="shared" si="2"/>
        <v>599.050216</v>
      </c>
      <c r="H590" s="167">
        <f t="shared" si="3"/>
        <v>64782.3743</v>
      </c>
      <c r="I590" s="168">
        <f t="shared" si="6"/>
        <v>91534.29334</v>
      </c>
      <c r="J590" s="1"/>
      <c r="K590" s="164"/>
      <c r="L590" s="164">
        <v>487.0</v>
      </c>
      <c r="M590" s="165">
        <f t="shared" si="7"/>
        <v>977044.0883</v>
      </c>
      <c r="N590" s="166">
        <f t="shared" si="8"/>
        <v>571.5637375</v>
      </c>
      <c r="O590" s="169">
        <f t="shared" si="9"/>
        <v>94190.00935</v>
      </c>
      <c r="P590" s="170">
        <f t="shared" ref="P590:Q590" si="495">P589+$L$7</f>
        <v>237738.4668</v>
      </c>
      <c r="Q590" s="171">
        <f t="shared" si="495"/>
        <v>237738.4668</v>
      </c>
      <c r="R590" s="172"/>
    </row>
    <row r="591" ht="14.25" customHeight="1" outlineLevel="1">
      <c r="A591" s="1"/>
      <c r="B591" s="163"/>
      <c r="C591" s="163"/>
      <c r="D591" s="164"/>
      <c r="E591" s="164">
        <v>488.0</v>
      </c>
      <c r="F591" s="165">
        <f t="shared" si="5"/>
        <v>1047605.593</v>
      </c>
      <c r="G591" s="166">
        <f t="shared" si="2"/>
        <v>602.373216</v>
      </c>
      <c r="H591" s="167">
        <f t="shared" si="3"/>
        <v>65121.02137</v>
      </c>
      <c r="I591" s="168">
        <f t="shared" si="6"/>
        <v>92136.66656</v>
      </c>
      <c r="J591" s="1"/>
      <c r="K591" s="164"/>
      <c r="L591" s="164">
        <v>488.0</v>
      </c>
      <c r="M591" s="165">
        <f t="shared" si="7"/>
        <v>982484.5717</v>
      </c>
      <c r="N591" s="166">
        <f t="shared" si="8"/>
        <v>574.6920155</v>
      </c>
      <c r="O591" s="169">
        <f t="shared" si="9"/>
        <v>94764.70136</v>
      </c>
      <c r="P591" s="170">
        <f t="shared" ref="P591:Q591" si="496">P590+$L$7</f>
        <v>238226.6361</v>
      </c>
      <c r="Q591" s="171">
        <f t="shared" si="496"/>
        <v>238226.6361</v>
      </c>
      <c r="R591" s="172"/>
    </row>
    <row r="592" ht="14.25" customHeight="1" outlineLevel="1">
      <c r="A592" s="1"/>
      <c r="B592" s="163"/>
      <c r="C592" s="163"/>
      <c r="D592" s="164"/>
      <c r="E592" s="164">
        <v>489.0</v>
      </c>
      <c r="F592" s="165">
        <f t="shared" si="5"/>
        <v>1053414.058</v>
      </c>
      <c r="G592" s="166">
        <f t="shared" si="2"/>
        <v>605.7130832</v>
      </c>
      <c r="H592" s="167">
        <f t="shared" si="3"/>
        <v>65461.38738</v>
      </c>
      <c r="I592" s="168">
        <f t="shared" si="6"/>
        <v>92742.37964</v>
      </c>
      <c r="J592" s="1"/>
      <c r="K592" s="164"/>
      <c r="L592" s="164">
        <v>489.0</v>
      </c>
      <c r="M592" s="165">
        <f t="shared" si="7"/>
        <v>987952.6704</v>
      </c>
      <c r="N592" s="166">
        <f t="shared" si="8"/>
        <v>577.8361722</v>
      </c>
      <c r="O592" s="169">
        <f t="shared" si="9"/>
        <v>95342.53753</v>
      </c>
      <c r="P592" s="170">
        <f t="shared" ref="P592:Q592" si="497">P591+$L$7</f>
        <v>238714.8055</v>
      </c>
      <c r="Q592" s="171">
        <f t="shared" si="497"/>
        <v>238714.8055</v>
      </c>
      <c r="R592" s="172"/>
    </row>
    <row r="593" ht="14.25" customHeight="1" outlineLevel="1">
      <c r="A593" s="1"/>
      <c r="B593" s="163"/>
      <c r="C593" s="163"/>
      <c r="D593" s="164"/>
      <c r="E593" s="164">
        <v>490.0</v>
      </c>
      <c r="F593" s="165">
        <f t="shared" si="5"/>
        <v>1059252.006</v>
      </c>
      <c r="G593" s="166">
        <f t="shared" si="2"/>
        <v>609.0699033</v>
      </c>
      <c r="H593" s="167">
        <f t="shared" si="3"/>
        <v>65803.48105</v>
      </c>
      <c r="I593" s="168">
        <f t="shared" si="6"/>
        <v>93351.44955</v>
      </c>
      <c r="J593" s="1"/>
      <c r="K593" s="164"/>
      <c r="L593" s="164">
        <v>490.0</v>
      </c>
      <c r="M593" s="165">
        <f t="shared" si="7"/>
        <v>993448.5246</v>
      </c>
      <c r="N593" s="166">
        <f t="shared" si="8"/>
        <v>580.9962884</v>
      </c>
      <c r="O593" s="169">
        <f t="shared" si="9"/>
        <v>95923.53382</v>
      </c>
      <c r="P593" s="170">
        <f t="shared" ref="P593:Q593" si="498">P592+$L$7</f>
        <v>239202.9748</v>
      </c>
      <c r="Q593" s="171">
        <f t="shared" si="498"/>
        <v>239202.9748</v>
      </c>
      <c r="R593" s="172"/>
    </row>
    <row r="594" ht="14.25" customHeight="1" outlineLevel="1">
      <c r="A594" s="1"/>
      <c r="B594" s="163"/>
      <c r="C594" s="163"/>
      <c r="D594" s="164"/>
      <c r="E594" s="164">
        <v>491.0</v>
      </c>
      <c r="F594" s="165">
        <f t="shared" si="5"/>
        <v>1065119.586</v>
      </c>
      <c r="G594" s="166">
        <f t="shared" si="2"/>
        <v>612.4437622</v>
      </c>
      <c r="H594" s="167">
        <f t="shared" si="3"/>
        <v>66147.31115</v>
      </c>
      <c r="I594" s="168">
        <f t="shared" si="6"/>
        <v>93963.89331</v>
      </c>
      <c r="J594" s="1"/>
      <c r="K594" s="164"/>
      <c r="L594" s="164">
        <v>491.0</v>
      </c>
      <c r="M594" s="165">
        <f t="shared" si="7"/>
        <v>998972.2752</v>
      </c>
      <c r="N594" s="166">
        <f t="shared" si="8"/>
        <v>584.172445</v>
      </c>
      <c r="O594" s="169">
        <f t="shared" si="9"/>
        <v>96507.70627</v>
      </c>
      <c r="P594" s="170">
        <f t="shared" ref="P594:Q594" si="499">P593+$L$7</f>
        <v>239691.1442</v>
      </c>
      <c r="Q594" s="171">
        <f t="shared" si="499"/>
        <v>239691.1442</v>
      </c>
      <c r="R594" s="172"/>
    </row>
    <row r="595" ht="14.25" customHeight="1" outlineLevel="1">
      <c r="A595" s="1"/>
      <c r="B595" s="163"/>
      <c r="C595" s="163"/>
      <c r="D595" s="164">
        <v>41.0</v>
      </c>
      <c r="E595" s="164">
        <v>492.0</v>
      </c>
      <c r="F595" s="165">
        <f t="shared" si="5"/>
        <v>1071016.95</v>
      </c>
      <c r="G595" s="166">
        <f t="shared" si="2"/>
        <v>615.8347464</v>
      </c>
      <c r="H595" s="167">
        <f t="shared" si="3"/>
        <v>66492.8865</v>
      </c>
      <c r="I595" s="168">
        <f t="shared" si="6"/>
        <v>94579.72806</v>
      </c>
      <c r="J595" s="1"/>
      <c r="K595" s="164">
        <v>41.0</v>
      </c>
      <c r="L595" s="164">
        <v>492.0</v>
      </c>
      <c r="M595" s="165">
        <f t="shared" si="7"/>
        <v>1004524.064</v>
      </c>
      <c r="N595" s="166">
        <f t="shared" si="8"/>
        <v>587.3647234</v>
      </c>
      <c r="O595" s="169">
        <f t="shared" si="9"/>
        <v>97095.07099</v>
      </c>
      <c r="P595" s="170">
        <f t="shared" ref="P595:Q595" si="500">P594+$L$7</f>
        <v>240179.3135</v>
      </c>
      <c r="Q595" s="171">
        <f t="shared" si="500"/>
        <v>240179.3135</v>
      </c>
      <c r="R595" s="172"/>
    </row>
    <row r="596" ht="14.25" customHeight="1" outlineLevel="1">
      <c r="A596" s="1"/>
      <c r="B596" s="163"/>
      <c r="C596" s="163"/>
      <c r="D596" s="164"/>
      <c r="E596" s="164">
        <v>493.0</v>
      </c>
      <c r="F596" s="165">
        <f t="shared" si="5"/>
        <v>1076944.249</v>
      </c>
      <c r="G596" s="166">
        <f t="shared" si="2"/>
        <v>619.2429429</v>
      </c>
      <c r="H596" s="167">
        <f t="shared" si="3"/>
        <v>66840.21595</v>
      </c>
      <c r="I596" s="168">
        <f t="shared" si="6"/>
        <v>95198.971</v>
      </c>
      <c r="J596" s="1"/>
      <c r="K596" s="164"/>
      <c r="L596" s="164">
        <v>493.0</v>
      </c>
      <c r="M596" s="165">
        <f t="shared" si="7"/>
        <v>1010104.033</v>
      </c>
      <c r="N596" s="166">
        <f t="shared" si="8"/>
        <v>590.5732055</v>
      </c>
      <c r="O596" s="169">
        <f t="shared" si="9"/>
        <v>97685.6442</v>
      </c>
      <c r="P596" s="170">
        <f t="shared" ref="P596:Q596" si="501">P595+$L$7</f>
        <v>240667.4828</v>
      </c>
      <c r="Q596" s="171">
        <f t="shared" si="501"/>
        <v>240667.4828</v>
      </c>
      <c r="R596" s="172"/>
    </row>
    <row r="597" ht="14.25" customHeight="1" outlineLevel="1">
      <c r="A597" s="1"/>
      <c r="B597" s="163"/>
      <c r="C597" s="163"/>
      <c r="D597" s="164"/>
      <c r="E597" s="164">
        <v>494.0</v>
      </c>
      <c r="F597" s="165">
        <f t="shared" si="5"/>
        <v>1082901.633</v>
      </c>
      <c r="G597" s="166">
        <f t="shared" si="2"/>
        <v>622.6684391</v>
      </c>
      <c r="H597" s="167">
        <f t="shared" si="3"/>
        <v>67189.30841</v>
      </c>
      <c r="I597" s="168">
        <f t="shared" si="6"/>
        <v>95821.63944</v>
      </c>
      <c r="J597" s="1"/>
      <c r="K597" s="164"/>
      <c r="L597" s="164">
        <v>494.0</v>
      </c>
      <c r="M597" s="165">
        <f t="shared" si="7"/>
        <v>1015712.325</v>
      </c>
      <c r="N597" s="166">
        <f t="shared" si="8"/>
        <v>593.7979735</v>
      </c>
      <c r="O597" s="169">
        <f t="shared" si="9"/>
        <v>98279.44217</v>
      </c>
      <c r="P597" s="170">
        <f t="shared" ref="P597:Q597" si="502">P596+$L$7</f>
        <v>241155.6522</v>
      </c>
      <c r="Q597" s="171">
        <f t="shared" si="502"/>
        <v>241155.6522</v>
      </c>
      <c r="R597" s="172"/>
    </row>
    <row r="598" ht="14.25" customHeight="1" outlineLevel="1">
      <c r="A598" s="1"/>
      <c r="B598" s="163"/>
      <c r="C598" s="163"/>
      <c r="D598" s="164"/>
      <c r="E598" s="164">
        <v>495.0</v>
      </c>
      <c r="F598" s="165">
        <f t="shared" si="5"/>
        <v>1088889.257</v>
      </c>
      <c r="G598" s="166">
        <f t="shared" si="2"/>
        <v>626.1113227</v>
      </c>
      <c r="H598" s="167">
        <f t="shared" si="3"/>
        <v>67540.17283</v>
      </c>
      <c r="I598" s="168">
        <f t="shared" si="6"/>
        <v>96447.75076</v>
      </c>
      <c r="J598" s="1"/>
      <c r="K598" s="164"/>
      <c r="L598" s="164">
        <v>495.0</v>
      </c>
      <c r="M598" s="165">
        <f t="shared" si="7"/>
        <v>1021349.084</v>
      </c>
      <c r="N598" s="166">
        <f t="shared" si="8"/>
        <v>597.0391101</v>
      </c>
      <c r="O598" s="169">
        <f t="shared" si="9"/>
        <v>98876.48128</v>
      </c>
      <c r="P598" s="170">
        <f t="shared" ref="P598:Q598" si="503">P597+$L$7</f>
        <v>241643.8215</v>
      </c>
      <c r="Q598" s="171">
        <f t="shared" si="503"/>
        <v>241643.8215</v>
      </c>
      <c r="R598" s="172"/>
    </row>
    <row r="599" ht="14.25" customHeight="1" outlineLevel="1">
      <c r="A599" s="1"/>
      <c r="B599" s="163"/>
      <c r="C599" s="163"/>
      <c r="D599" s="164"/>
      <c r="E599" s="164">
        <v>496.0</v>
      </c>
      <c r="F599" s="165">
        <f t="shared" si="5"/>
        <v>1094907.273</v>
      </c>
      <c r="G599" s="166">
        <f t="shared" si="2"/>
        <v>629.5716821</v>
      </c>
      <c r="H599" s="167">
        <f t="shared" si="3"/>
        <v>67892.81819</v>
      </c>
      <c r="I599" s="168">
        <f t="shared" si="6"/>
        <v>97077.32244</v>
      </c>
      <c r="J599" s="1"/>
      <c r="K599" s="164"/>
      <c r="L599" s="164">
        <v>496.0</v>
      </c>
      <c r="M599" s="165">
        <f t="shared" si="7"/>
        <v>1027014.455</v>
      </c>
      <c r="N599" s="166">
        <f t="shared" si="8"/>
        <v>600.2966983</v>
      </c>
      <c r="O599" s="169">
        <f t="shared" si="9"/>
        <v>99476.77798</v>
      </c>
      <c r="P599" s="170">
        <f t="shared" ref="P599:Q599" si="504">P598+$L$7</f>
        <v>242131.9908</v>
      </c>
      <c r="Q599" s="171">
        <f t="shared" si="504"/>
        <v>242131.9908</v>
      </c>
      <c r="R599" s="172"/>
    </row>
    <row r="600" ht="14.25" customHeight="1" outlineLevel="1">
      <c r="A600" s="1"/>
      <c r="B600" s="163"/>
      <c r="C600" s="163"/>
      <c r="D600" s="164"/>
      <c r="E600" s="164">
        <v>497.0</v>
      </c>
      <c r="F600" s="165">
        <f t="shared" si="5"/>
        <v>1100955.836</v>
      </c>
      <c r="G600" s="166">
        <f t="shared" si="2"/>
        <v>633.0496058</v>
      </c>
      <c r="H600" s="167">
        <f t="shared" si="3"/>
        <v>68247.25355</v>
      </c>
      <c r="I600" s="168">
        <f t="shared" si="6"/>
        <v>97710.37205</v>
      </c>
      <c r="J600" s="1"/>
      <c r="K600" s="164"/>
      <c r="L600" s="164">
        <v>497.0</v>
      </c>
      <c r="M600" s="165">
        <f t="shared" si="7"/>
        <v>1032708.583</v>
      </c>
      <c r="N600" s="166">
        <f t="shared" si="8"/>
        <v>603.5708217</v>
      </c>
      <c r="O600" s="169">
        <f t="shared" si="9"/>
        <v>100080.3488</v>
      </c>
      <c r="P600" s="170">
        <f t="shared" ref="P600:Q600" si="505">P599+$L$7</f>
        <v>242620.1602</v>
      </c>
      <c r="Q600" s="171">
        <f t="shared" si="505"/>
        <v>242620.1602</v>
      </c>
      <c r="R600" s="172"/>
    </row>
    <row r="601" ht="14.25" customHeight="1" outlineLevel="1">
      <c r="A601" s="1"/>
      <c r="B601" s="163"/>
      <c r="C601" s="163"/>
      <c r="D601" s="164"/>
      <c r="E601" s="164">
        <v>498.0</v>
      </c>
      <c r="F601" s="165">
        <f t="shared" si="5"/>
        <v>1107035.101</v>
      </c>
      <c r="G601" s="166">
        <f t="shared" si="2"/>
        <v>636.5451831</v>
      </c>
      <c r="H601" s="167">
        <f t="shared" si="3"/>
        <v>68603.48798</v>
      </c>
      <c r="I601" s="168">
        <f t="shared" si="6"/>
        <v>98346.91723</v>
      </c>
      <c r="J601" s="1"/>
      <c r="K601" s="164"/>
      <c r="L601" s="164">
        <v>498.0</v>
      </c>
      <c r="M601" s="165">
        <f t="shared" si="7"/>
        <v>1038431.613</v>
      </c>
      <c r="N601" s="166">
        <f t="shared" si="8"/>
        <v>606.8615643</v>
      </c>
      <c r="O601" s="169">
        <f t="shared" si="9"/>
        <v>100687.2104</v>
      </c>
      <c r="P601" s="170">
        <f t="shared" ref="P601:Q601" si="506">P600+$L$7</f>
        <v>243108.3295</v>
      </c>
      <c r="Q601" s="171">
        <f t="shared" si="506"/>
        <v>243108.3295</v>
      </c>
      <c r="R601" s="172"/>
    </row>
    <row r="602" ht="14.25" customHeight="1" outlineLevel="1">
      <c r="A602" s="1"/>
      <c r="B602" s="163"/>
      <c r="C602" s="163"/>
      <c r="D602" s="164"/>
      <c r="E602" s="164">
        <v>499.0</v>
      </c>
      <c r="F602" s="165">
        <f t="shared" si="5"/>
        <v>1113145.224</v>
      </c>
      <c r="G602" s="166">
        <f t="shared" si="2"/>
        <v>640.0585036</v>
      </c>
      <c r="H602" s="167">
        <f t="shared" si="3"/>
        <v>68961.53062</v>
      </c>
      <c r="I602" s="168">
        <f t="shared" si="6"/>
        <v>98986.97573</v>
      </c>
      <c r="J602" s="1"/>
      <c r="K602" s="164"/>
      <c r="L602" s="164">
        <v>499.0</v>
      </c>
      <c r="M602" s="165">
        <f t="shared" si="7"/>
        <v>1044183.693</v>
      </c>
      <c r="N602" s="166">
        <f t="shared" si="8"/>
        <v>610.1690103</v>
      </c>
      <c r="O602" s="169">
        <f t="shared" si="9"/>
        <v>101297.3794</v>
      </c>
      <c r="P602" s="170">
        <f t="shared" ref="P602:Q602" si="507">P601+$L$7</f>
        <v>243596.4988</v>
      </c>
      <c r="Q602" s="171">
        <f t="shared" si="507"/>
        <v>243596.4988</v>
      </c>
      <c r="R602" s="172"/>
    </row>
    <row r="603" ht="14.25" customHeight="1" outlineLevel="1">
      <c r="A603" s="1"/>
      <c r="B603" s="163"/>
      <c r="C603" s="163"/>
      <c r="D603" s="164"/>
      <c r="E603" s="164">
        <v>500.0</v>
      </c>
      <c r="F603" s="165">
        <f t="shared" si="5"/>
        <v>1119286.361</v>
      </c>
      <c r="G603" s="166">
        <f t="shared" si="2"/>
        <v>643.5896574</v>
      </c>
      <c r="H603" s="167">
        <f t="shared" si="3"/>
        <v>69321.39065</v>
      </c>
      <c r="I603" s="168">
        <f t="shared" si="6"/>
        <v>99630.56539</v>
      </c>
      <c r="J603" s="1"/>
      <c r="K603" s="164"/>
      <c r="L603" s="164">
        <v>500.0</v>
      </c>
      <c r="M603" s="165">
        <f t="shared" si="7"/>
        <v>1049964.97</v>
      </c>
      <c r="N603" s="166">
        <f t="shared" si="8"/>
        <v>613.4932445</v>
      </c>
      <c r="O603" s="169">
        <f t="shared" si="9"/>
        <v>101910.8726</v>
      </c>
      <c r="P603" s="170">
        <f t="shared" ref="P603:Q603" si="508">P602+$L$7</f>
        <v>244084.6682</v>
      </c>
      <c r="Q603" s="171">
        <f t="shared" si="508"/>
        <v>244084.6682</v>
      </c>
      <c r="R603" s="172"/>
    </row>
    <row r="604" ht="14.25" customHeight="1" outlineLevel="1">
      <c r="A604" s="1"/>
      <c r="B604" s="163"/>
      <c r="C604" s="163"/>
      <c r="D604" s="164"/>
      <c r="E604" s="164">
        <v>501.0</v>
      </c>
      <c r="F604" s="165">
        <f t="shared" si="5"/>
        <v>1125458.669</v>
      </c>
      <c r="G604" s="166">
        <f t="shared" si="2"/>
        <v>647.1387349</v>
      </c>
      <c r="H604" s="167">
        <f t="shared" si="3"/>
        <v>69683.07729</v>
      </c>
      <c r="I604" s="168">
        <f t="shared" si="6"/>
        <v>100277.7041</v>
      </c>
      <c r="J604" s="1"/>
      <c r="K604" s="164"/>
      <c r="L604" s="164">
        <v>501.0</v>
      </c>
      <c r="M604" s="165">
        <f t="shared" si="7"/>
        <v>1055775.592</v>
      </c>
      <c r="N604" s="166">
        <f t="shared" si="8"/>
        <v>616.8343522</v>
      </c>
      <c r="O604" s="169">
        <f t="shared" si="9"/>
        <v>102527.707</v>
      </c>
      <c r="P604" s="170">
        <f t="shared" ref="P604:Q604" si="509">P603+$L$7</f>
        <v>244572.8375</v>
      </c>
      <c r="Q604" s="171">
        <f t="shared" si="509"/>
        <v>244572.8375</v>
      </c>
      <c r="R604" s="172"/>
    </row>
    <row r="605" ht="14.25" customHeight="1" outlineLevel="1">
      <c r="A605" s="1"/>
      <c r="B605" s="163"/>
      <c r="C605" s="163"/>
      <c r="D605" s="164"/>
      <c r="E605" s="164">
        <v>502.0</v>
      </c>
      <c r="F605" s="165">
        <f t="shared" si="5"/>
        <v>1131662.308</v>
      </c>
      <c r="G605" s="166">
        <f t="shared" si="2"/>
        <v>650.7058272</v>
      </c>
      <c r="H605" s="167">
        <f t="shared" si="3"/>
        <v>70046.59981</v>
      </c>
      <c r="I605" s="168">
        <f t="shared" si="6"/>
        <v>100928.41</v>
      </c>
      <c r="J605" s="1"/>
      <c r="K605" s="164"/>
      <c r="L605" s="164">
        <v>502.0</v>
      </c>
      <c r="M605" s="165">
        <f t="shared" si="7"/>
        <v>1061615.708</v>
      </c>
      <c r="N605" s="166">
        <f t="shared" si="8"/>
        <v>620.192419</v>
      </c>
      <c r="O605" s="169">
        <f t="shared" si="9"/>
        <v>103147.8994</v>
      </c>
      <c r="P605" s="170">
        <f t="shared" ref="P605:Q605" si="510">P604+$L$7</f>
        <v>245061.0069</v>
      </c>
      <c r="Q605" s="171">
        <f t="shared" si="510"/>
        <v>245061.0069</v>
      </c>
      <c r="R605" s="172"/>
    </row>
    <row r="606" ht="14.25" customHeight="1" outlineLevel="1">
      <c r="A606" s="1"/>
      <c r="B606" s="163"/>
      <c r="C606" s="163"/>
      <c r="D606" s="164"/>
      <c r="E606" s="164">
        <v>503.0</v>
      </c>
      <c r="F606" s="165">
        <f t="shared" si="5"/>
        <v>1137897.436</v>
      </c>
      <c r="G606" s="166">
        <f t="shared" si="2"/>
        <v>654.2910256</v>
      </c>
      <c r="H606" s="167">
        <f t="shared" si="3"/>
        <v>70411.96753</v>
      </c>
      <c r="I606" s="168">
        <f t="shared" si="6"/>
        <v>101582.701</v>
      </c>
      <c r="J606" s="1"/>
      <c r="K606" s="164"/>
      <c r="L606" s="164">
        <v>503.0</v>
      </c>
      <c r="M606" s="165">
        <f t="shared" si="7"/>
        <v>1067485.468</v>
      </c>
      <c r="N606" s="166">
        <f t="shared" si="8"/>
        <v>623.567531</v>
      </c>
      <c r="O606" s="169">
        <f t="shared" si="9"/>
        <v>103771.4669</v>
      </c>
      <c r="P606" s="170">
        <f t="shared" ref="P606:Q606" si="511">P605+$L$7</f>
        <v>245549.1762</v>
      </c>
      <c r="Q606" s="171">
        <f t="shared" si="511"/>
        <v>245549.1762</v>
      </c>
      <c r="R606" s="172"/>
    </row>
    <row r="607" ht="14.25" customHeight="1" outlineLevel="1">
      <c r="A607" s="1"/>
      <c r="B607" s="163"/>
      <c r="C607" s="163"/>
      <c r="D607" s="164">
        <v>42.0</v>
      </c>
      <c r="E607" s="164">
        <v>504.0</v>
      </c>
      <c r="F607" s="165">
        <f t="shared" si="5"/>
        <v>1144164.212</v>
      </c>
      <c r="G607" s="166">
        <f t="shared" si="2"/>
        <v>657.8944221</v>
      </c>
      <c r="H607" s="167">
        <f t="shared" si="3"/>
        <v>70779.18982</v>
      </c>
      <c r="I607" s="168">
        <f t="shared" si="6"/>
        <v>102240.5954</v>
      </c>
      <c r="J607" s="1"/>
      <c r="K607" s="164">
        <v>42.0</v>
      </c>
      <c r="L607" s="164">
        <v>504.0</v>
      </c>
      <c r="M607" s="165">
        <f t="shared" si="7"/>
        <v>1073385.023</v>
      </c>
      <c r="N607" s="166">
        <f t="shared" si="8"/>
        <v>626.9597747</v>
      </c>
      <c r="O607" s="169">
        <f t="shared" si="9"/>
        <v>104398.4267</v>
      </c>
      <c r="P607" s="170">
        <f t="shared" ref="P607:Q607" si="512">P606+$L$7</f>
        <v>246037.3455</v>
      </c>
      <c r="Q607" s="171">
        <f t="shared" si="512"/>
        <v>246037.3455</v>
      </c>
      <c r="R607" s="172"/>
    </row>
    <row r="608" ht="14.25" customHeight="1" outlineLevel="1">
      <c r="A608" s="1"/>
      <c r="B608" s="163"/>
      <c r="C608" s="163"/>
      <c r="D608" s="164"/>
      <c r="E608" s="164">
        <v>505.0</v>
      </c>
      <c r="F608" s="165">
        <f t="shared" si="5"/>
        <v>1150462.798</v>
      </c>
      <c r="G608" s="166">
        <f t="shared" si="2"/>
        <v>661.5161091</v>
      </c>
      <c r="H608" s="167">
        <f t="shared" si="3"/>
        <v>71148.2761</v>
      </c>
      <c r="I608" s="168">
        <f t="shared" si="6"/>
        <v>102902.1115</v>
      </c>
      <c r="J608" s="1"/>
      <c r="K608" s="164"/>
      <c r="L608" s="164">
        <v>505.0</v>
      </c>
      <c r="M608" s="165">
        <f t="shared" si="7"/>
        <v>1079314.522</v>
      </c>
      <c r="N608" s="166">
        <f t="shared" si="8"/>
        <v>630.3692371</v>
      </c>
      <c r="O608" s="169">
        <f t="shared" si="9"/>
        <v>105028.7959</v>
      </c>
      <c r="P608" s="170">
        <f t="shared" ref="P608:Q608" si="513">P607+$L$7</f>
        <v>246525.5149</v>
      </c>
      <c r="Q608" s="171">
        <f t="shared" si="513"/>
        <v>246525.5149</v>
      </c>
      <c r="R608" s="172"/>
    </row>
    <row r="609" ht="14.25" customHeight="1" outlineLevel="1">
      <c r="A609" s="1"/>
      <c r="B609" s="163"/>
      <c r="C609" s="163"/>
      <c r="D609" s="164"/>
      <c r="E609" s="164">
        <v>506.0</v>
      </c>
      <c r="F609" s="165">
        <f t="shared" si="5"/>
        <v>1156793.356</v>
      </c>
      <c r="G609" s="166">
        <f t="shared" si="2"/>
        <v>665.1561794</v>
      </c>
      <c r="H609" s="167">
        <f t="shared" si="3"/>
        <v>71519.23581</v>
      </c>
      <c r="I609" s="168">
        <f t="shared" si="6"/>
        <v>103567.2677</v>
      </c>
      <c r="J609" s="1"/>
      <c r="K609" s="164"/>
      <c r="L609" s="164">
        <v>506.0</v>
      </c>
      <c r="M609" s="165">
        <f t="shared" si="7"/>
        <v>1085274.12</v>
      </c>
      <c r="N609" s="166">
        <f t="shared" si="8"/>
        <v>633.7960056</v>
      </c>
      <c r="O609" s="169">
        <f t="shared" si="9"/>
        <v>105662.5919</v>
      </c>
      <c r="P609" s="170">
        <f t="shared" ref="P609:Q609" si="514">P608+$L$7</f>
        <v>247013.6842</v>
      </c>
      <c r="Q609" s="171">
        <f t="shared" si="514"/>
        <v>247013.6842</v>
      </c>
      <c r="R609" s="172"/>
    </row>
    <row r="610" ht="14.25" customHeight="1" outlineLevel="1">
      <c r="A610" s="1"/>
      <c r="B610" s="163"/>
      <c r="C610" s="163"/>
      <c r="D610" s="164"/>
      <c r="E610" s="164">
        <v>507.0</v>
      </c>
      <c r="F610" s="165">
        <f t="shared" si="5"/>
        <v>1163156.046</v>
      </c>
      <c r="G610" s="166">
        <f t="shared" si="2"/>
        <v>668.8147263</v>
      </c>
      <c r="H610" s="167">
        <f t="shared" si="3"/>
        <v>71892.07848</v>
      </c>
      <c r="I610" s="168">
        <f t="shared" si="6"/>
        <v>104236.0824</v>
      </c>
      <c r="J610" s="1"/>
      <c r="K610" s="164"/>
      <c r="L610" s="164">
        <v>507.0</v>
      </c>
      <c r="M610" s="165">
        <f t="shared" si="7"/>
        <v>1091263.967</v>
      </c>
      <c r="N610" s="166">
        <f t="shared" si="8"/>
        <v>637.2401679</v>
      </c>
      <c r="O610" s="169">
        <f t="shared" si="9"/>
        <v>106299.8321</v>
      </c>
      <c r="P610" s="170">
        <f t="shared" ref="P610:Q610" si="515">P609+$L$7</f>
        <v>247501.8535</v>
      </c>
      <c r="Q610" s="171">
        <f t="shared" si="515"/>
        <v>247501.8535</v>
      </c>
      <c r="R610" s="172"/>
    </row>
    <row r="611" ht="14.25" customHeight="1" outlineLevel="1">
      <c r="A611" s="1"/>
      <c r="B611" s="163"/>
      <c r="C611" s="163"/>
      <c r="D611" s="164"/>
      <c r="E611" s="164">
        <v>508.0</v>
      </c>
      <c r="F611" s="165">
        <f t="shared" si="5"/>
        <v>1169551.032</v>
      </c>
      <c r="G611" s="166">
        <f t="shared" si="2"/>
        <v>672.4918436</v>
      </c>
      <c r="H611" s="167">
        <f t="shared" si="3"/>
        <v>72266.81366</v>
      </c>
      <c r="I611" s="168">
        <f t="shared" si="6"/>
        <v>104908.5743</v>
      </c>
      <c r="J611" s="1"/>
      <c r="K611" s="164"/>
      <c r="L611" s="164">
        <v>508.0</v>
      </c>
      <c r="M611" s="165">
        <f t="shared" si="7"/>
        <v>1097284.219</v>
      </c>
      <c r="N611" s="166">
        <f t="shared" si="8"/>
        <v>640.7018125</v>
      </c>
      <c r="O611" s="169">
        <f t="shared" si="9"/>
        <v>106940.5339</v>
      </c>
      <c r="P611" s="170">
        <f t="shared" ref="P611:Q611" si="516">P610+$L$7</f>
        <v>247990.0229</v>
      </c>
      <c r="Q611" s="171">
        <f t="shared" si="516"/>
        <v>247990.0229</v>
      </c>
      <c r="R611" s="172"/>
    </row>
    <row r="612" ht="14.25" customHeight="1" outlineLevel="1">
      <c r="A612" s="1"/>
      <c r="B612" s="163"/>
      <c r="C612" s="163"/>
      <c r="D612" s="164"/>
      <c r="E612" s="164">
        <v>509.0</v>
      </c>
      <c r="F612" s="165">
        <f t="shared" si="5"/>
        <v>1175978.479</v>
      </c>
      <c r="G612" s="166">
        <f t="shared" si="2"/>
        <v>676.1876256</v>
      </c>
      <c r="H612" s="167">
        <f t="shared" si="3"/>
        <v>72643.45095</v>
      </c>
      <c r="I612" s="168">
        <f t="shared" si="6"/>
        <v>105584.7619</v>
      </c>
      <c r="J612" s="1"/>
      <c r="K612" s="164"/>
      <c r="L612" s="164">
        <v>509.0</v>
      </c>
      <c r="M612" s="165">
        <f t="shared" si="7"/>
        <v>1103335.028</v>
      </c>
      <c r="N612" s="166">
        <f t="shared" si="8"/>
        <v>644.181028</v>
      </c>
      <c r="O612" s="169">
        <f t="shared" si="9"/>
        <v>107584.7149</v>
      </c>
      <c r="P612" s="170">
        <f t="shared" ref="P612:Q612" si="517">P611+$L$7</f>
        <v>248478.1922</v>
      </c>
      <c r="Q612" s="171">
        <f t="shared" si="517"/>
        <v>248478.1922</v>
      </c>
      <c r="R612" s="172"/>
    </row>
    <row r="613" ht="14.25" customHeight="1" outlineLevel="1">
      <c r="A613" s="1"/>
      <c r="B613" s="163"/>
      <c r="C613" s="163"/>
      <c r="D613" s="164"/>
      <c r="E613" s="164">
        <v>510.0</v>
      </c>
      <c r="F613" s="165">
        <f t="shared" si="5"/>
        <v>1182438.551</v>
      </c>
      <c r="G613" s="166">
        <f t="shared" si="2"/>
        <v>679.9021669</v>
      </c>
      <c r="H613" s="167">
        <f t="shared" si="3"/>
        <v>73022.00002</v>
      </c>
      <c r="I613" s="168">
        <f t="shared" si="6"/>
        <v>106264.6641</v>
      </c>
      <c r="J613" s="1"/>
      <c r="K613" s="164"/>
      <c r="L613" s="164">
        <v>510.0</v>
      </c>
      <c r="M613" s="165">
        <f t="shared" si="7"/>
        <v>1109416.551</v>
      </c>
      <c r="N613" s="166">
        <f t="shared" si="8"/>
        <v>647.6779037</v>
      </c>
      <c r="O613" s="169">
        <f t="shared" si="9"/>
        <v>108232.3928</v>
      </c>
      <c r="P613" s="170">
        <f t="shared" ref="P613:Q613" si="518">P612+$L$7</f>
        <v>248966.3615</v>
      </c>
      <c r="Q613" s="171">
        <f t="shared" si="518"/>
        <v>248966.3615</v>
      </c>
      <c r="R613" s="172"/>
    </row>
    <row r="614" ht="14.25" customHeight="1" outlineLevel="1">
      <c r="A614" s="1"/>
      <c r="B614" s="163"/>
      <c r="C614" s="163"/>
      <c r="D614" s="164"/>
      <c r="E614" s="164">
        <v>511.0</v>
      </c>
      <c r="F614" s="165">
        <f t="shared" si="5"/>
        <v>1188931.414</v>
      </c>
      <c r="G614" s="166">
        <f t="shared" si="2"/>
        <v>683.6355629</v>
      </c>
      <c r="H614" s="167">
        <f t="shared" si="3"/>
        <v>73402.47056</v>
      </c>
      <c r="I614" s="168">
        <f t="shared" si="6"/>
        <v>106948.2996</v>
      </c>
      <c r="J614" s="1"/>
      <c r="K614" s="164"/>
      <c r="L614" s="164">
        <v>511.0</v>
      </c>
      <c r="M614" s="165">
        <f t="shared" si="7"/>
        <v>1115528.943</v>
      </c>
      <c r="N614" s="166">
        <f t="shared" si="8"/>
        <v>651.1925291</v>
      </c>
      <c r="O614" s="169">
        <f t="shared" si="9"/>
        <v>108883.5854</v>
      </c>
      <c r="P614" s="170">
        <f t="shared" ref="P614:Q614" si="519">P613+$L$7</f>
        <v>249454.5309</v>
      </c>
      <c r="Q614" s="171">
        <f t="shared" si="519"/>
        <v>249454.5309</v>
      </c>
      <c r="R614" s="172"/>
    </row>
    <row r="615" ht="14.25" customHeight="1" outlineLevel="1">
      <c r="A615" s="1"/>
      <c r="B615" s="163"/>
      <c r="C615" s="163"/>
      <c r="D615" s="164"/>
      <c r="E615" s="164">
        <v>512.0</v>
      </c>
      <c r="F615" s="165">
        <f t="shared" si="5"/>
        <v>1195457.233</v>
      </c>
      <c r="G615" s="166">
        <f t="shared" si="2"/>
        <v>687.3879092</v>
      </c>
      <c r="H615" s="167">
        <f t="shared" si="3"/>
        <v>73784.87233</v>
      </c>
      <c r="I615" s="168">
        <f t="shared" si="6"/>
        <v>107635.6875</v>
      </c>
      <c r="J615" s="1"/>
      <c r="K615" s="164"/>
      <c r="L615" s="164">
        <v>512.0</v>
      </c>
      <c r="M615" s="165">
        <f t="shared" si="7"/>
        <v>1121672.361</v>
      </c>
      <c r="N615" s="166">
        <f t="shared" si="8"/>
        <v>654.7249943</v>
      </c>
      <c r="O615" s="169">
        <f t="shared" si="9"/>
        <v>109538.3104</v>
      </c>
      <c r="P615" s="170">
        <f t="shared" ref="P615:Q615" si="520">P614+$L$7</f>
        <v>249942.7002</v>
      </c>
      <c r="Q615" s="171">
        <f t="shared" si="520"/>
        <v>249942.7002</v>
      </c>
      <c r="R615" s="172"/>
    </row>
    <row r="616" ht="14.25" customHeight="1" outlineLevel="1">
      <c r="A616" s="1"/>
      <c r="B616" s="163"/>
      <c r="C616" s="163"/>
      <c r="D616" s="164"/>
      <c r="E616" s="164">
        <v>513.0</v>
      </c>
      <c r="F616" s="165">
        <f t="shared" si="5"/>
        <v>1202016.177</v>
      </c>
      <c r="G616" s="166">
        <f t="shared" si="2"/>
        <v>691.159302</v>
      </c>
      <c r="H616" s="167">
        <f t="shared" si="3"/>
        <v>74169.21513</v>
      </c>
      <c r="I616" s="168">
        <f t="shared" si="6"/>
        <v>108326.8468</v>
      </c>
      <c r="J616" s="1"/>
      <c r="K616" s="164"/>
      <c r="L616" s="164">
        <v>513.0</v>
      </c>
      <c r="M616" s="165">
        <f t="shared" si="7"/>
        <v>1127846.962</v>
      </c>
      <c r="N616" s="166">
        <f t="shared" si="8"/>
        <v>658.27539</v>
      </c>
      <c r="O616" s="169">
        <f t="shared" si="9"/>
        <v>110196.5858</v>
      </c>
      <c r="P616" s="170">
        <f t="shared" ref="P616:Q616" si="521">P615+$L$7</f>
        <v>250430.8696</v>
      </c>
      <c r="Q616" s="171">
        <f t="shared" si="521"/>
        <v>250430.8696</v>
      </c>
      <c r="R616" s="172"/>
    </row>
    <row r="617" ht="14.25" customHeight="1" outlineLevel="1">
      <c r="A617" s="1"/>
      <c r="B617" s="163"/>
      <c r="C617" s="163"/>
      <c r="D617" s="164"/>
      <c r="E617" s="164">
        <v>514.0</v>
      </c>
      <c r="F617" s="165">
        <f t="shared" si="5"/>
        <v>1208608.414</v>
      </c>
      <c r="G617" s="166">
        <f t="shared" si="2"/>
        <v>694.949838</v>
      </c>
      <c r="H617" s="167">
        <f t="shared" si="3"/>
        <v>74555.50881</v>
      </c>
      <c r="I617" s="168">
        <f t="shared" si="6"/>
        <v>109021.7967</v>
      </c>
      <c r="J617" s="1"/>
      <c r="K617" s="164"/>
      <c r="L617" s="164">
        <v>514.0</v>
      </c>
      <c r="M617" s="165">
        <f t="shared" si="7"/>
        <v>1134052.905</v>
      </c>
      <c r="N617" s="166">
        <f t="shared" si="8"/>
        <v>661.8438072</v>
      </c>
      <c r="O617" s="169">
        <f t="shared" si="9"/>
        <v>110858.4296</v>
      </c>
      <c r="P617" s="170">
        <f t="shared" ref="P617:Q617" si="522">P616+$L$7</f>
        <v>250919.0389</v>
      </c>
      <c r="Q617" s="171">
        <f t="shared" si="522"/>
        <v>250919.0389</v>
      </c>
      <c r="R617" s="172"/>
    </row>
    <row r="618" ht="14.25" customHeight="1" outlineLevel="1">
      <c r="A618" s="1"/>
      <c r="B618" s="163"/>
      <c r="C618" s="163"/>
      <c r="D618" s="164"/>
      <c r="E618" s="164">
        <v>515.0</v>
      </c>
      <c r="F618" s="165">
        <f t="shared" si="5"/>
        <v>1215234.112</v>
      </c>
      <c r="G618" s="166">
        <f t="shared" si="2"/>
        <v>698.7596144</v>
      </c>
      <c r="H618" s="167">
        <f t="shared" si="3"/>
        <v>74943.76328</v>
      </c>
      <c r="I618" s="168">
        <f t="shared" si="6"/>
        <v>109720.5563</v>
      </c>
      <c r="J618" s="1"/>
      <c r="K618" s="164"/>
      <c r="L618" s="164">
        <v>515.0</v>
      </c>
      <c r="M618" s="165">
        <f t="shared" si="7"/>
        <v>1140290.349</v>
      </c>
      <c r="N618" s="166">
        <f t="shared" si="8"/>
        <v>665.4303372</v>
      </c>
      <c r="O618" s="169">
        <f t="shared" si="9"/>
        <v>111523.8599</v>
      </c>
      <c r="P618" s="170">
        <f t="shared" ref="P618:Q618" si="523">P617+$L$7</f>
        <v>251407.2082</v>
      </c>
      <c r="Q618" s="171">
        <f t="shared" si="523"/>
        <v>251407.2082</v>
      </c>
      <c r="R618" s="172"/>
    </row>
    <row r="619" ht="14.25" customHeight="1" outlineLevel="1">
      <c r="A619" s="1"/>
      <c r="B619" s="163"/>
      <c r="C619" s="163"/>
      <c r="D619" s="164">
        <v>43.0</v>
      </c>
      <c r="E619" s="164">
        <v>516.0</v>
      </c>
      <c r="F619" s="165">
        <f t="shared" si="5"/>
        <v>1221893.441</v>
      </c>
      <c r="G619" s="166">
        <f t="shared" si="2"/>
        <v>702.5887288</v>
      </c>
      <c r="H619" s="167">
        <f t="shared" si="3"/>
        <v>75333.98849</v>
      </c>
      <c r="I619" s="168">
        <f t="shared" si="6"/>
        <v>110423.145</v>
      </c>
      <c r="J619" s="1"/>
      <c r="K619" s="164">
        <v>43.0</v>
      </c>
      <c r="L619" s="164">
        <v>516.0</v>
      </c>
      <c r="M619" s="165">
        <f t="shared" si="7"/>
        <v>1146559.453</v>
      </c>
      <c r="N619" s="166">
        <f t="shared" si="8"/>
        <v>669.0350721</v>
      </c>
      <c r="O619" s="169">
        <f t="shared" si="9"/>
        <v>112192.895</v>
      </c>
      <c r="P619" s="170">
        <f t="shared" ref="P619:Q619" si="524">P618+$L$7</f>
        <v>251895.3776</v>
      </c>
      <c r="Q619" s="171">
        <f t="shared" si="524"/>
        <v>251895.3776</v>
      </c>
      <c r="R619" s="172"/>
    </row>
    <row r="620" ht="14.25" customHeight="1" outlineLevel="1">
      <c r="A620" s="1"/>
      <c r="B620" s="163"/>
      <c r="C620" s="163"/>
      <c r="D620" s="164"/>
      <c r="E620" s="164">
        <v>517.0</v>
      </c>
      <c r="F620" s="165">
        <f t="shared" si="5"/>
        <v>1228586.573</v>
      </c>
      <c r="G620" s="166">
        <f t="shared" si="2"/>
        <v>706.4372793</v>
      </c>
      <c r="H620" s="167">
        <f t="shared" si="3"/>
        <v>75726.19444</v>
      </c>
      <c r="I620" s="168">
        <f t="shared" si="6"/>
        <v>111129.5823</v>
      </c>
      <c r="J620" s="1"/>
      <c r="K620" s="164"/>
      <c r="L620" s="164">
        <v>517.0</v>
      </c>
      <c r="M620" s="165">
        <f t="shared" si="7"/>
        <v>1152860.378</v>
      </c>
      <c r="N620" s="166">
        <f t="shared" si="8"/>
        <v>672.6581043</v>
      </c>
      <c r="O620" s="169">
        <f t="shared" si="9"/>
        <v>112865.5531</v>
      </c>
      <c r="P620" s="170">
        <f t="shared" ref="P620:Q620" si="525">P619+$L$7</f>
        <v>252383.5469</v>
      </c>
      <c r="Q620" s="171">
        <f t="shared" si="525"/>
        <v>252383.5469</v>
      </c>
      <c r="R620" s="172"/>
    </row>
    <row r="621" ht="14.25" customHeight="1" outlineLevel="1">
      <c r="A621" s="1"/>
      <c r="B621" s="163"/>
      <c r="C621" s="163"/>
      <c r="D621" s="164"/>
      <c r="E621" s="164">
        <v>518.0</v>
      </c>
      <c r="F621" s="165">
        <f t="shared" si="5"/>
        <v>1235313.678</v>
      </c>
      <c r="G621" s="166">
        <f t="shared" si="2"/>
        <v>710.3053647</v>
      </c>
      <c r="H621" s="167">
        <f t="shared" si="3"/>
        <v>76120.39118</v>
      </c>
      <c r="I621" s="168">
        <f t="shared" si="6"/>
        <v>111839.8877</v>
      </c>
      <c r="J621" s="1"/>
      <c r="K621" s="164"/>
      <c r="L621" s="164">
        <v>518.0</v>
      </c>
      <c r="M621" s="165">
        <f t="shared" si="7"/>
        <v>1159193.287</v>
      </c>
      <c r="N621" s="166">
        <f t="shared" si="8"/>
        <v>676.2995265</v>
      </c>
      <c r="O621" s="169">
        <f t="shared" si="9"/>
        <v>113541.8526</v>
      </c>
      <c r="P621" s="170">
        <f t="shared" ref="P621:Q621" si="526">P620+$L$7</f>
        <v>252871.7162</v>
      </c>
      <c r="Q621" s="171">
        <f t="shared" si="526"/>
        <v>252871.7162</v>
      </c>
      <c r="R621" s="172"/>
    </row>
    <row r="622" ht="14.25" customHeight="1" outlineLevel="1">
      <c r="A622" s="1"/>
      <c r="B622" s="163"/>
      <c r="C622" s="163"/>
      <c r="D622" s="164"/>
      <c r="E622" s="164">
        <v>519.0</v>
      </c>
      <c r="F622" s="165">
        <f t="shared" si="5"/>
        <v>1242074.929</v>
      </c>
      <c r="G622" s="166">
        <f t="shared" si="2"/>
        <v>714.1930841</v>
      </c>
      <c r="H622" s="167">
        <f t="shared" si="3"/>
        <v>76516.58883</v>
      </c>
      <c r="I622" s="168">
        <f t="shared" si="6"/>
        <v>112554.0807</v>
      </c>
      <c r="J622" s="1"/>
      <c r="K622" s="164"/>
      <c r="L622" s="164">
        <v>519.0</v>
      </c>
      <c r="M622" s="165">
        <f t="shared" si="7"/>
        <v>1165558.34</v>
      </c>
      <c r="N622" s="166">
        <f t="shared" si="8"/>
        <v>679.9594323</v>
      </c>
      <c r="O622" s="169">
        <f t="shared" si="9"/>
        <v>114221.812</v>
      </c>
      <c r="P622" s="170">
        <f t="shared" ref="P622:Q622" si="527">P621+$L$7</f>
        <v>253359.8856</v>
      </c>
      <c r="Q622" s="171">
        <f t="shared" si="527"/>
        <v>253359.8856</v>
      </c>
      <c r="R622" s="172"/>
    </row>
    <row r="623" ht="14.25" customHeight="1" outlineLevel="1">
      <c r="A623" s="1"/>
      <c r="B623" s="163"/>
      <c r="C623" s="163"/>
      <c r="D623" s="164"/>
      <c r="E623" s="164">
        <v>520.0</v>
      </c>
      <c r="F623" s="165">
        <f t="shared" si="5"/>
        <v>1248870.499</v>
      </c>
      <c r="G623" s="166">
        <f t="shared" si="2"/>
        <v>718.1005372</v>
      </c>
      <c r="H623" s="167">
        <f t="shared" si="3"/>
        <v>76914.79754</v>
      </c>
      <c r="I623" s="168">
        <f t="shared" si="6"/>
        <v>113272.1813</v>
      </c>
      <c r="J623" s="1"/>
      <c r="K623" s="164"/>
      <c r="L623" s="164">
        <v>520.0</v>
      </c>
      <c r="M623" s="165">
        <f t="shared" si="7"/>
        <v>1171955.702</v>
      </c>
      <c r="N623" s="166">
        <f t="shared" si="8"/>
        <v>683.6379153</v>
      </c>
      <c r="O623" s="169">
        <f t="shared" si="9"/>
        <v>114905.45</v>
      </c>
      <c r="P623" s="170">
        <f t="shared" ref="P623:Q623" si="528">P622+$L$7</f>
        <v>253848.0549</v>
      </c>
      <c r="Q623" s="171">
        <f t="shared" si="528"/>
        <v>253848.0549</v>
      </c>
      <c r="R623" s="172"/>
    </row>
    <row r="624" ht="14.25" customHeight="1" outlineLevel="1">
      <c r="A624" s="1"/>
      <c r="B624" s="163"/>
      <c r="C624" s="163"/>
      <c r="D624" s="164"/>
      <c r="E624" s="164">
        <v>521.0</v>
      </c>
      <c r="F624" s="165">
        <f t="shared" si="5"/>
        <v>1255700.564</v>
      </c>
      <c r="G624" s="166">
        <f t="shared" si="2"/>
        <v>722.027824</v>
      </c>
      <c r="H624" s="167">
        <f t="shared" si="3"/>
        <v>77315.0275</v>
      </c>
      <c r="I624" s="168">
        <f t="shared" si="6"/>
        <v>113994.2091</v>
      </c>
      <c r="J624" s="1"/>
      <c r="K624" s="164"/>
      <c r="L624" s="164">
        <v>521.0</v>
      </c>
      <c r="M624" s="165">
        <f t="shared" si="7"/>
        <v>1178385.536</v>
      </c>
      <c r="N624" s="166">
        <f t="shared" si="8"/>
        <v>687.3350699</v>
      </c>
      <c r="O624" s="169">
        <f t="shared" si="9"/>
        <v>115592.785</v>
      </c>
      <c r="P624" s="170">
        <f t="shared" ref="P624:Q624" si="529">P623+$L$7</f>
        <v>254336.2242</v>
      </c>
      <c r="Q624" s="171">
        <f t="shared" si="529"/>
        <v>254336.2242</v>
      </c>
      <c r="R624" s="172"/>
    </row>
    <row r="625" ht="14.25" customHeight="1" outlineLevel="1">
      <c r="A625" s="1"/>
      <c r="B625" s="163"/>
      <c r="C625" s="163"/>
      <c r="D625" s="164"/>
      <c r="E625" s="164">
        <v>522.0</v>
      </c>
      <c r="F625" s="165">
        <f t="shared" si="5"/>
        <v>1262565.296</v>
      </c>
      <c r="G625" s="166">
        <f t="shared" si="2"/>
        <v>725.9750454</v>
      </c>
      <c r="H625" s="167">
        <f t="shared" si="3"/>
        <v>77717.289</v>
      </c>
      <c r="I625" s="168">
        <f t="shared" si="6"/>
        <v>114720.1841</v>
      </c>
      <c r="J625" s="1"/>
      <c r="K625" s="164"/>
      <c r="L625" s="164">
        <v>522.0</v>
      </c>
      <c r="M625" s="165">
        <f t="shared" si="7"/>
        <v>1184848.007</v>
      </c>
      <c r="N625" s="166">
        <f t="shared" si="8"/>
        <v>691.0509909</v>
      </c>
      <c r="O625" s="169">
        <f t="shared" si="9"/>
        <v>116283.836</v>
      </c>
      <c r="P625" s="170">
        <f t="shared" ref="P625:Q625" si="530">P624+$L$7</f>
        <v>254824.3936</v>
      </c>
      <c r="Q625" s="171">
        <f t="shared" si="530"/>
        <v>254824.3936</v>
      </c>
      <c r="R625" s="172"/>
    </row>
    <row r="626" ht="14.25" customHeight="1" outlineLevel="1">
      <c r="A626" s="1"/>
      <c r="B626" s="163"/>
      <c r="C626" s="163"/>
      <c r="D626" s="164"/>
      <c r="E626" s="164">
        <v>523.0</v>
      </c>
      <c r="F626" s="165">
        <f t="shared" si="5"/>
        <v>1269464.874</v>
      </c>
      <c r="G626" s="166">
        <f t="shared" si="2"/>
        <v>729.9423024</v>
      </c>
      <c r="H626" s="167">
        <f t="shared" si="3"/>
        <v>78121.59233</v>
      </c>
      <c r="I626" s="168">
        <f t="shared" si="6"/>
        <v>115450.1264</v>
      </c>
      <c r="J626" s="1"/>
      <c r="K626" s="164"/>
      <c r="L626" s="164">
        <v>523.0</v>
      </c>
      <c r="M626" s="165">
        <f t="shared" si="7"/>
        <v>1191343.281</v>
      </c>
      <c r="N626" s="166">
        <f t="shared" si="8"/>
        <v>694.7857736</v>
      </c>
      <c r="O626" s="169">
        <f t="shared" si="9"/>
        <v>116978.6218</v>
      </c>
      <c r="P626" s="170">
        <f t="shared" ref="P626:Q626" si="531">P625+$L$7</f>
        <v>255312.5629</v>
      </c>
      <c r="Q626" s="171">
        <f t="shared" si="531"/>
        <v>255312.5629</v>
      </c>
      <c r="R626" s="172"/>
    </row>
    <row r="627" ht="14.25" customHeight="1" outlineLevel="1">
      <c r="A627" s="1"/>
      <c r="B627" s="163"/>
      <c r="C627" s="163"/>
      <c r="D627" s="164"/>
      <c r="E627" s="164">
        <v>524.0</v>
      </c>
      <c r="F627" s="165">
        <f t="shared" si="5"/>
        <v>1276399.473</v>
      </c>
      <c r="G627" s="166">
        <f t="shared" si="2"/>
        <v>733.9296968</v>
      </c>
      <c r="H627" s="167">
        <f t="shared" si="3"/>
        <v>78527.94786</v>
      </c>
      <c r="I627" s="168">
        <f t="shared" si="6"/>
        <v>116184.0561</v>
      </c>
      <c r="J627" s="1"/>
      <c r="K627" s="164"/>
      <c r="L627" s="164">
        <v>524.0</v>
      </c>
      <c r="M627" s="165">
        <f t="shared" si="7"/>
        <v>1197871.525</v>
      </c>
      <c r="N627" s="166">
        <f t="shared" si="8"/>
        <v>698.5395135</v>
      </c>
      <c r="O627" s="169">
        <f t="shared" si="9"/>
        <v>117677.1613</v>
      </c>
      <c r="P627" s="170">
        <f t="shared" ref="P627:Q627" si="532">P626+$L$7</f>
        <v>255800.7323</v>
      </c>
      <c r="Q627" s="171">
        <f t="shared" si="532"/>
        <v>255800.7323</v>
      </c>
      <c r="R627" s="172"/>
    </row>
    <row r="628" ht="14.25" customHeight="1" outlineLevel="1">
      <c r="A628" s="1"/>
      <c r="B628" s="163"/>
      <c r="C628" s="163"/>
      <c r="D628" s="164"/>
      <c r="E628" s="164">
        <v>525.0</v>
      </c>
      <c r="F628" s="165">
        <f t="shared" si="5"/>
        <v>1283369.271</v>
      </c>
      <c r="G628" s="166">
        <f t="shared" si="2"/>
        <v>737.9373308</v>
      </c>
      <c r="H628" s="167">
        <f t="shared" si="3"/>
        <v>78936.36601</v>
      </c>
      <c r="I628" s="168">
        <f t="shared" si="6"/>
        <v>116921.9935</v>
      </c>
      <c r="J628" s="1"/>
      <c r="K628" s="164"/>
      <c r="L628" s="164">
        <v>525.0</v>
      </c>
      <c r="M628" s="165">
        <f t="shared" si="7"/>
        <v>1204432.905</v>
      </c>
      <c r="N628" s="166">
        <f t="shared" si="8"/>
        <v>702.3123071</v>
      </c>
      <c r="O628" s="169">
        <f t="shared" si="9"/>
        <v>118379.4736</v>
      </c>
      <c r="P628" s="170">
        <f t="shared" ref="P628:Q628" si="533">P627+$L$7</f>
        <v>256288.9016</v>
      </c>
      <c r="Q628" s="171">
        <f t="shared" si="533"/>
        <v>256288.9016</v>
      </c>
      <c r="R628" s="172"/>
    </row>
    <row r="629" ht="14.25" customHeight="1" outlineLevel="1">
      <c r="A629" s="1"/>
      <c r="B629" s="163"/>
      <c r="C629" s="163"/>
      <c r="D629" s="164"/>
      <c r="E629" s="164">
        <v>526.0</v>
      </c>
      <c r="F629" s="165">
        <f t="shared" si="5"/>
        <v>1290374.447</v>
      </c>
      <c r="G629" s="166">
        <f t="shared" si="2"/>
        <v>741.9653072</v>
      </c>
      <c r="H629" s="167">
        <f t="shared" si="3"/>
        <v>79346.85725</v>
      </c>
      <c r="I629" s="168">
        <f t="shared" si="6"/>
        <v>117663.9588</v>
      </c>
      <c r="J629" s="1"/>
      <c r="K629" s="164"/>
      <c r="L629" s="164">
        <v>526.0</v>
      </c>
      <c r="M629" s="165">
        <f t="shared" si="7"/>
        <v>1211027.59</v>
      </c>
      <c r="N629" s="166">
        <f t="shared" si="8"/>
        <v>706.104251</v>
      </c>
      <c r="O629" s="169">
        <f t="shared" si="9"/>
        <v>119085.5779</v>
      </c>
      <c r="P629" s="170">
        <f t="shared" ref="P629:Q629" si="534">P628+$L$7</f>
        <v>256777.0709</v>
      </c>
      <c r="Q629" s="171">
        <f t="shared" si="534"/>
        <v>256777.0709</v>
      </c>
      <c r="R629" s="172"/>
    </row>
    <row r="630" ht="14.25" customHeight="1" outlineLevel="1">
      <c r="A630" s="1"/>
      <c r="B630" s="163"/>
      <c r="C630" s="163"/>
      <c r="D630" s="164"/>
      <c r="E630" s="164">
        <v>527.0</v>
      </c>
      <c r="F630" s="165">
        <f t="shared" si="5"/>
        <v>1297415.181</v>
      </c>
      <c r="G630" s="166">
        <f t="shared" si="2"/>
        <v>746.0137291</v>
      </c>
      <c r="H630" s="167">
        <f t="shared" si="3"/>
        <v>79759.4321</v>
      </c>
      <c r="I630" s="168">
        <f t="shared" si="6"/>
        <v>118409.9725</v>
      </c>
      <c r="J630" s="1"/>
      <c r="K630" s="164"/>
      <c r="L630" s="164">
        <v>527.0</v>
      </c>
      <c r="M630" s="165">
        <f t="shared" si="7"/>
        <v>1217655.749</v>
      </c>
      <c r="N630" s="166">
        <f t="shared" si="8"/>
        <v>709.9154423</v>
      </c>
      <c r="O630" s="169">
        <f t="shared" si="9"/>
        <v>119795.4933</v>
      </c>
      <c r="P630" s="170">
        <f t="shared" ref="P630:Q630" si="535">P629+$L$7</f>
        <v>257265.2403</v>
      </c>
      <c r="Q630" s="171">
        <f t="shared" si="535"/>
        <v>257265.2403</v>
      </c>
      <c r="R630" s="172"/>
    </row>
    <row r="631" ht="14.25" customHeight="1" outlineLevel="1">
      <c r="A631" s="1"/>
      <c r="B631" s="163"/>
      <c r="C631" s="163"/>
      <c r="D631" s="164">
        <v>44.0</v>
      </c>
      <c r="E631" s="164">
        <v>528.0</v>
      </c>
      <c r="F631" s="165">
        <f t="shared" si="5"/>
        <v>1304491.653</v>
      </c>
      <c r="G631" s="166">
        <f t="shared" si="2"/>
        <v>750.0827003</v>
      </c>
      <c r="H631" s="167">
        <f t="shared" si="3"/>
        <v>80174.10113</v>
      </c>
      <c r="I631" s="168">
        <f t="shared" si="6"/>
        <v>119160.0552</v>
      </c>
      <c r="J631" s="1"/>
      <c r="K631" s="164">
        <v>44.0</v>
      </c>
      <c r="L631" s="164">
        <v>528.0</v>
      </c>
      <c r="M631" s="165">
        <f t="shared" si="7"/>
        <v>1224317.552</v>
      </c>
      <c r="N631" s="166">
        <f t="shared" si="8"/>
        <v>713.7459789</v>
      </c>
      <c r="O631" s="169">
        <f t="shared" si="9"/>
        <v>120509.2393</v>
      </c>
      <c r="P631" s="170">
        <f t="shared" ref="P631:Q631" si="536">P630+$L$7</f>
        <v>257753.4096</v>
      </c>
      <c r="Q631" s="171">
        <f t="shared" si="536"/>
        <v>257753.4096</v>
      </c>
      <c r="R631" s="172"/>
    </row>
    <row r="632" ht="14.25" customHeight="1" outlineLevel="1">
      <c r="A632" s="1"/>
      <c r="B632" s="163"/>
      <c r="C632" s="163"/>
      <c r="D632" s="164"/>
      <c r="E632" s="164">
        <v>529.0</v>
      </c>
      <c r="F632" s="165">
        <f t="shared" si="5"/>
        <v>1311604.044</v>
      </c>
      <c r="G632" s="166">
        <f t="shared" si="2"/>
        <v>754.1723253</v>
      </c>
      <c r="H632" s="167">
        <f t="shared" si="3"/>
        <v>80590.87498</v>
      </c>
      <c r="I632" s="168">
        <f t="shared" si="6"/>
        <v>119914.2275</v>
      </c>
      <c r="J632" s="1"/>
      <c r="K632" s="164"/>
      <c r="L632" s="164">
        <v>529.0</v>
      </c>
      <c r="M632" s="165">
        <f t="shared" si="7"/>
        <v>1231013.169</v>
      </c>
      <c r="N632" s="166">
        <f t="shared" si="8"/>
        <v>717.5959589</v>
      </c>
      <c r="O632" s="169">
        <f t="shared" si="9"/>
        <v>121226.8352</v>
      </c>
      <c r="P632" s="170">
        <f t="shared" ref="P632:Q632" si="537">P631+$L$7</f>
        <v>258241.5789</v>
      </c>
      <c r="Q632" s="171">
        <f t="shared" si="537"/>
        <v>258241.5789</v>
      </c>
      <c r="R632" s="172"/>
    </row>
    <row r="633" ht="14.25" customHeight="1" outlineLevel="1">
      <c r="A633" s="1"/>
      <c r="B633" s="163"/>
      <c r="C633" s="163"/>
      <c r="D633" s="164"/>
      <c r="E633" s="164">
        <v>530.0</v>
      </c>
      <c r="F633" s="165">
        <f t="shared" si="5"/>
        <v>1318752.537</v>
      </c>
      <c r="G633" s="166">
        <f t="shared" si="2"/>
        <v>758.2827087</v>
      </c>
      <c r="H633" s="167">
        <f t="shared" si="3"/>
        <v>81009.76433</v>
      </c>
      <c r="I633" s="168">
        <f t="shared" si="6"/>
        <v>120672.5102</v>
      </c>
      <c r="J633" s="1"/>
      <c r="K633" s="164"/>
      <c r="L633" s="164">
        <v>530.0</v>
      </c>
      <c r="M633" s="165">
        <f t="shared" si="7"/>
        <v>1237742.773</v>
      </c>
      <c r="N633" s="166">
        <f t="shared" si="8"/>
        <v>721.465481</v>
      </c>
      <c r="O633" s="169">
        <f t="shared" si="9"/>
        <v>121948.3007</v>
      </c>
      <c r="P633" s="170">
        <f t="shared" ref="P633:Q633" si="538">P632+$L$7</f>
        <v>258729.7483</v>
      </c>
      <c r="Q633" s="171">
        <f t="shared" si="538"/>
        <v>258729.7483</v>
      </c>
      <c r="R633" s="172"/>
    </row>
    <row r="634" ht="14.25" customHeight="1" outlineLevel="1">
      <c r="A634" s="1"/>
      <c r="B634" s="163"/>
      <c r="C634" s="163"/>
      <c r="D634" s="164"/>
      <c r="E634" s="164">
        <v>531.0</v>
      </c>
      <c r="F634" s="165">
        <f t="shared" si="5"/>
        <v>1325937.315</v>
      </c>
      <c r="G634" s="166">
        <f t="shared" si="2"/>
        <v>762.413956</v>
      </c>
      <c r="H634" s="167">
        <f t="shared" si="3"/>
        <v>81430.77992</v>
      </c>
      <c r="I634" s="168">
        <f t="shared" si="6"/>
        <v>121434.9242</v>
      </c>
      <c r="J634" s="1"/>
      <c r="K634" s="164"/>
      <c r="L634" s="164">
        <v>531.0</v>
      </c>
      <c r="M634" s="165">
        <f t="shared" si="7"/>
        <v>1244506.535</v>
      </c>
      <c r="N634" s="166">
        <f t="shared" si="8"/>
        <v>725.3546443</v>
      </c>
      <c r="O634" s="169">
        <f t="shared" si="9"/>
        <v>122673.6554</v>
      </c>
      <c r="P634" s="170">
        <f t="shared" ref="P634:Q634" si="539">P633+$L$7</f>
        <v>259217.9176</v>
      </c>
      <c r="Q634" s="171">
        <f t="shared" si="539"/>
        <v>259217.9176</v>
      </c>
      <c r="R634" s="172"/>
    </row>
    <row r="635" ht="14.25" customHeight="1" outlineLevel="1">
      <c r="A635" s="1"/>
      <c r="B635" s="163"/>
      <c r="C635" s="163"/>
      <c r="D635" s="164"/>
      <c r="E635" s="164">
        <v>532.0</v>
      </c>
      <c r="F635" s="165">
        <f t="shared" si="5"/>
        <v>1333158.562</v>
      </c>
      <c r="G635" s="166">
        <f t="shared" si="2"/>
        <v>766.5661731</v>
      </c>
      <c r="H635" s="167">
        <f t="shared" si="3"/>
        <v>81853.93253</v>
      </c>
      <c r="I635" s="168">
        <f t="shared" si="6"/>
        <v>122201.4904</v>
      </c>
      <c r="J635" s="1"/>
      <c r="K635" s="164"/>
      <c r="L635" s="164">
        <v>532.0</v>
      </c>
      <c r="M635" s="165">
        <f t="shared" si="7"/>
        <v>1251304.629</v>
      </c>
      <c r="N635" s="166">
        <f t="shared" si="8"/>
        <v>729.2635487</v>
      </c>
      <c r="O635" s="169">
        <f t="shared" si="9"/>
        <v>123402.9189</v>
      </c>
      <c r="P635" s="170">
        <f t="shared" ref="P635:Q635" si="540">P634+$L$7</f>
        <v>259706.0869</v>
      </c>
      <c r="Q635" s="171">
        <f t="shared" si="540"/>
        <v>259706.0869</v>
      </c>
      <c r="R635" s="172"/>
    </row>
    <row r="636" ht="14.25" customHeight="1" outlineLevel="1">
      <c r="A636" s="1"/>
      <c r="B636" s="163"/>
      <c r="C636" s="163"/>
      <c r="D636" s="164"/>
      <c r="E636" s="164">
        <v>533.0</v>
      </c>
      <c r="F636" s="165">
        <f t="shared" si="5"/>
        <v>1340416.463</v>
      </c>
      <c r="G636" s="166">
        <f t="shared" si="2"/>
        <v>770.7394664</v>
      </c>
      <c r="H636" s="167">
        <f t="shared" si="3"/>
        <v>82279.23303</v>
      </c>
      <c r="I636" s="168">
        <f t="shared" si="6"/>
        <v>122972.2298</v>
      </c>
      <c r="J636" s="1"/>
      <c r="K636" s="164"/>
      <c r="L636" s="164">
        <v>533.0</v>
      </c>
      <c r="M636" s="165">
        <f t="shared" si="7"/>
        <v>1258137.23</v>
      </c>
      <c r="N636" s="166">
        <f t="shared" si="8"/>
        <v>733.1922942</v>
      </c>
      <c r="O636" s="169">
        <f t="shared" si="9"/>
        <v>124136.1112</v>
      </c>
      <c r="P636" s="170">
        <f t="shared" ref="P636:Q636" si="541">P635+$L$7</f>
        <v>260194.2563</v>
      </c>
      <c r="Q636" s="171">
        <f t="shared" si="541"/>
        <v>260194.2563</v>
      </c>
      <c r="R636" s="172"/>
    </row>
    <row r="637" ht="14.25" customHeight="1" outlineLevel="1">
      <c r="A637" s="1"/>
      <c r="B637" s="163"/>
      <c r="C637" s="163"/>
      <c r="D637" s="164"/>
      <c r="E637" s="164">
        <v>534.0</v>
      </c>
      <c r="F637" s="165">
        <f t="shared" si="5"/>
        <v>1347711.205</v>
      </c>
      <c r="G637" s="166">
        <f t="shared" si="2"/>
        <v>774.9339429</v>
      </c>
      <c r="H637" s="167">
        <f t="shared" si="3"/>
        <v>82706.69231</v>
      </c>
      <c r="I637" s="168">
        <f t="shared" si="6"/>
        <v>123747.1638</v>
      </c>
      <c r="J637" s="1"/>
      <c r="K637" s="164"/>
      <c r="L637" s="164">
        <v>534.0</v>
      </c>
      <c r="M637" s="165">
        <f t="shared" si="7"/>
        <v>1265004.513</v>
      </c>
      <c r="N637" s="166">
        <f t="shared" si="8"/>
        <v>737.1409816</v>
      </c>
      <c r="O637" s="169">
        <f t="shared" si="9"/>
        <v>124873.2522</v>
      </c>
      <c r="P637" s="170">
        <f t="shared" ref="P637:Q637" si="542">P636+$L$7</f>
        <v>260682.4256</v>
      </c>
      <c r="Q637" s="171">
        <f t="shared" si="542"/>
        <v>260682.4256</v>
      </c>
      <c r="R637" s="172"/>
    </row>
    <row r="638" ht="14.25" customHeight="1" outlineLevel="1">
      <c r="A638" s="1"/>
      <c r="B638" s="163"/>
      <c r="C638" s="163"/>
      <c r="D638" s="164"/>
      <c r="E638" s="164">
        <v>535.0</v>
      </c>
      <c r="F638" s="165">
        <f t="shared" si="5"/>
        <v>1355042.974</v>
      </c>
      <c r="G638" s="166">
        <f t="shared" si="2"/>
        <v>779.1497102</v>
      </c>
      <c r="H638" s="167">
        <f t="shared" si="3"/>
        <v>83136.32132</v>
      </c>
      <c r="I638" s="168">
        <f t="shared" si="6"/>
        <v>124526.3135</v>
      </c>
      <c r="J638" s="1"/>
      <c r="K638" s="164"/>
      <c r="L638" s="164">
        <v>535.0</v>
      </c>
      <c r="M638" s="165">
        <f t="shared" si="7"/>
        <v>1271906.653</v>
      </c>
      <c r="N638" s="166">
        <f t="shared" si="8"/>
        <v>741.1097121</v>
      </c>
      <c r="O638" s="169">
        <f t="shared" si="9"/>
        <v>125614.3619</v>
      </c>
      <c r="P638" s="170">
        <f t="shared" ref="P638:Q638" si="543">P637+$L$7</f>
        <v>261170.595</v>
      </c>
      <c r="Q638" s="171">
        <f t="shared" si="543"/>
        <v>261170.595</v>
      </c>
      <c r="R638" s="172"/>
    </row>
    <row r="639" ht="14.25" customHeight="1" outlineLevel="1">
      <c r="A639" s="1"/>
      <c r="B639" s="163"/>
      <c r="C639" s="163"/>
      <c r="D639" s="164"/>
      <c r="E639" s="164">
        <v>536.0</v>
      </c>
      <c r="F639" s="165">
        <f t="shared" si="5"/>
        <v>1362411.959</v>
      </c>
      <c r="G639" s="166">
        <f t="shared" si="2"/>
        <v>783.3868762</v>
      </c>
      <c r="H639" s="167">
        <f t="shared" si="3"/>
        <v>83568.13109</v>
      </c>
      <c r="I639" s="168">
        <f t="shared" si="6"/>
        <v>125309.7004</v>
      </c>
      <c r="J639" s="1"/>
      <c r="K639" s="164"/>
      <c r="L639" s="164">
        <v>536.0</v>
      </c>
      <c r="M639" s="165">
        <f t="shared" si="7"/>
        <v>1278843.827</v>
      </c>
      <c r="N639" s="166">
        <f t="shared" si="8"/>
        <v>745.0985875</v>
      </c>
      <c r="O639" s="169">
        <f t="shared" si="9"/>
        <v>126359.4605</v>
      </c>
      <c r="P639" s="170">
        <f t="shared" ref="P639:Q639" si="544">P638+$L$7</f>
        <v>261658.7643</v>
      </c>
      <c r="Q639" s="171">
        <f t="shared" si="544"/>
        <v>261658.7643</v>
      </c>
      <c r="R639" s="172"/>
    </row>
    <row r="640" ht="14.25" customHeight="1" outlineLevel="1">
      <c r="A640" s="1"/>
      <c r="B640" s="163"/>
      <c r="C640" s="163"/>
      <c r="D640" s="164"/>
      <c r="E640" s="164">
        <v>537.0</v>
      </c>
      <c r="F640" s="165">
        <f t="shared" si="5"/>
        <v>1369818.347</v>
      </c>
      <c r="G640" s="166">
        <f t="shared" si="2"/>
        <v>787.6455496</v>
      </c>
      <c r="H640" s="167">
        <f t="shared" si="3"/>
        <v>84002.13267</v>
      </c>
      <c r="I640" s="168">
        <f t="shared" si="6"/>
        <v>126097.3459</v>
      </c>
      <c r="J640" s="1"/>
      <c r="K640" s="164"/>
      <c r="L640" s="164">
        <v>537.0</v>
      </c>
      <c r="M640" s="165">
        <f t="shared" si="7"/>
        <v>1285816.214</v>
      </c>
      <c r="N640" s="166">
        <f t="shared" si="8"/>
        <v>749.10771</v>
      </c>
      <c r="O640" s="169">
        <f t="shared" si="9"/>
        <v>127108.5682</v>
      </c>
      <c r="P640" s="170">
        <f t="shared" ref="P640:Q640" si="545">P639+$L$7</f>
        <v>262146.9336</v>
      </c>
      <c r="Q640" s="171">
        <f t="shared" si="545"/>
        <v>262146.9336</v>
      </c>
      <c r="R640" s="172"/>
    </row>
    <row r="641" ht="14.25" customHeight="1" outlineLevel="1">
      <c r="A641" s="1"/>
      <c r="B641" s="163"/>
      <c r="C641" s="163"/>
      <c r="D641" s="164"/>
      <c r="E641" s="164">
        <v>538.0</v>
      </c>
      <c r="F641" s="165">
        <f t="shared" si="5"/>
        <v>1377262.33</v>
      </c>
      <c r="G641" s="166">
        <f t="shared" si="2"/>
        <v>791.9258396</v>
      </c>
      <c r="H641" s="167">
        <f t="shared" si="3"/>
        <v>84438.33721</v>
      </c>
      <c r="I641" s="168">
        <f t="shared" si="6"/>
        <v>126889.2718</v>
      </c>
      <c r="J641" s="1"/>
      <c r="K641" s="164"/>
      <c r="L641" s="164">
        <v>538.0</v>
      </c>
      <c r="M641" s="165">
        <f t="shared" si="7"/>
        <v>1292823.992</v>
      </c>
      <c r="N641" s="166">
        <f t="shared" si="8"/>
        <v>753.1371824</v>
      </c>
      <c r="O641" s="169">
        <f t="shared" si="9"/>
        <v>127861.7054</v>
      </c>
      <c r="P641" s="170">
        <f t="shared" ref="P641:Q641" si="546">P640+$L$7</f>
        <v>262635.103</v>
      </c>
      <c r="Q641" s="171">
        <f t="shared" si="546"/>
        <v>262635.103</v>
      </c>
      <c r="R641" s="172"/>
    </row>
    <row r="642" ht="14.25" customHeight="1" outlineLevel="1">
      <c r="A642" s="1"/>
      <c r="B642" s="163"/>
      <c r="C642" s="163"/>
      <c r="D642" s="164"/>
      <c r="E642" s="164">
        <v>539.0</v>
      </c>
      <c r="F642" s="165">
        <f t="shared" si="5"/>
        <v>1384744.097</v>
      </c>
      <c r="G642" s="166">
        <f t="shared" si="2"/>
        <v>796.2278559</v>
      </c>
      <c r="H642" s="167">
        <f t="shared" si="3"/>
        <v>84876.75587</v>
      </c>
      <c r="I642" s="168">
        <f t="shared" si="6"/>
        <v>127685.4996</v>
      </c>
      <c r="J642" s="1"/>
      <c r="K642" s="164"/>
      <c r="L642" s="164">
        <v>539.0</v>
      </c>
      <c r="M642" s="165">
        <f t="shared" si="7"/>
        <v>1299867.341</v>
      </c>
      <c r="N642" s="166">
        <f t="shared" si="8"/>
        <v>757.187108</v>
      </c>
      <c r="O642" s="169">
        <f t="shared" si="9"/>
        <v>128618.8925</v>
      </c>
      <c r="P642" s="170">
        <f t="shared" ref="P642:Q642" si="547">P641+$L$7</f>
        <v>263123.2723</v>
      </c>
      <c r="Q642" s="171">
        <f t="shared" si="547"/>
        <v>263123.2723</v>
      </c>
      <c r="R642" s="172"/>
    </row>
    <row r="643" ht="14.25" customHeight="1" outlineLevel="1">
      <c r="A643" s="1"/>
      <c r="B643" s="163"/>
      <c r="C643" s="163"/>
      <c r="D643" s="164">
        <v>45.0</v>
      </c>
      <c r="E643" s="164">
        <v>540.0</v>
      </c>
      <c r="F643" s="165">
        <f t="shared" si="5"/>
        <v>1392263.841</v>
      </c>
      <c r="G643" s="166">
        <f t="shared" si="2"/>
        <v>800.5517087</v>
      </c>
      <c r="H643" s="167">
        <f t="shared" si="3"/>
        <v>85317.3999</v>
      </c>
      <c r="I643" s="168">
        <f t="shared" si="6"/>
        <v>128486.0513</v>
      </c>
      <c r="J643" s="1"/>
      <c r="K643" s="164">
        <v>45.0</v>
      </c>
      <c r="L643" s="164">
        <v>540.0</v>
      </c>
      <c r="M643" s="165">
        <f t="shared" si="7"/>
        <v>1306946.441</v>
      </c>
      <c r="N643" s="166">
        <f t="shared" si="8"/>
        <v>761.2575905</v>
      </c>
      <c r="O643" s="169">
        <f t="shared" si="9"/>
        <v>129380.1501</v>
      </c>
      <c r="P643" s="170">
        <f t="shared" ref="P643:Q643" si="548">P642+$L$7</f>
        <v>263611.4416</v>
      </c>
      <c r="Q643" s="171">
        <f t="shared" si="548"/>
        <v>263611.4416</v>
      </c>
      <c r="R643" s="172"/>
    </row>
    <row r="644" ht="14.25" customHeight="1" outlineLevel="1">
      <c r="A644" s="1"/>
      <c r="B644" s="163"/>
      <c r="C644" s="163"/>
      <c r="D644" s="164"/>
      <c r="E644" s="164">
        <v>541.0</v>
      </c>
      <c r="F644" s="165">
        <f t="shared" si="5"/>
        <v>1399821.755</v>
      </c>
      <c r="G644" s="166">
        <f t="shared" si="2"/>
        <v>804.897509</v>
      </c>
      <c r="H644" s="167">
        <f t="shared" si="3"/>
        <v>85760.28059</v>
      </c>
      <c r="I644" s="168">
        <f t="shared" si="6"/>
        <v>129290.9488</v>
      </c>
      <c r="J644" s="1"/>
      <c r="K644" s="164"/>
      <c r="L644" s="164">
        <v>541.0</v>
      </c>
      <c r="M644" s="165">
        <f t="shared" si="7"/>
        <v>1314061.474</v>
      </c>
      <c r="N644" s="166">
        <f t="shared" si="8"/>
        <v>765.3487344</v>
      </c>
      <c r="O644" s="169">
        <f t="shared" si="9"/>
        <v>130145.4988</v>
      </c>
      <c r="P644" s="170">
        <f t="shared" ref="P644:Q644" si="549">P643+$L$7</f>
        <v>264099.611</v>
      </c>
      <c r="Q644" s="171">
        <f t="shared" si="549"/>
        <v>264099.611</v>
      </c>
      <c r="R644" s="172"/>
    </row>
    <row r="645" ht="14.25" customHeight="1" outlineLevel="1">
      <c r="A645" s="1"/>
      <c r="B645" s="163"/>
      <c r="C645" s="163"/>
      <c r="D645" s="164"/>
      <c r="E645" s="164">
        <v>542.0</v>
      </c>
      <c r="F645" s="165">
        <f t="shared" si="5"/>
        <v>1407418.032</v>
      </c>
      <c r="G645" s="166">
        <f t="shared" si="2"/>
        <v>809.2653681</v>
      </c>
      <c r="H645" s="167">
        <f t="shared" si="3"/>
        <v>86205.40929</v>
      </c>
      <c r="I645" s="168">
        <f t="shared" si="6"/>
        <v>130100.2142</v>
      </c>
      <c r="J645" s="1"/>
      <c r="K645" s="164"/>
      <c r="L645" s="164">
        <v>542.0</v>
      </c>
      <c r="M645" s="165">
        <f t="shared" si="7"/>
        <v>1321212.622</v>
      </c>
      <c r="N645" s="166">
        <f t="shared" si="8"/>
        <v>769.4606445</v>
      </c>
      <c r="O645" s="169">
        <f t="shared" si="9"/>
        <v>130914.9595</v>
      </c>
      <c r="P645" s="171">
        <f t="shared" ref="P645:P824" si="550">P644+$L$7</f>
        <v>264587.7803</v>
      </c>
      <c r="Q645" s="172"/>
      <c r="R645" s="172"/>
    </row>
    <row r="646" ht="14.25" customHeight="1" outlineLevel="1">
      <c r="A646" s="1"/>
      <c r="B646" s="163"/>
      <c r="C646" s="163"/>
      <c r="D646" s="164"/>
      <c r="E646" s="164">
        <v>543.0</v>
      </c>
      <c r="F646" s="165">
        <f t="shared" si="5"/>
        <v>1415052.866</v>
      </c>
      <c r="G646" s="166">
        <f t="shared" si="2"/>
        <v>813.655398</v>
      </c>
      <c r="H646" s="167">
        <f t="shared" si="3"/>
        <v>86652.79742</v>
      </c>
      <c r="I646" s="168">
        <f t="shared" si="6"/>
        <v>130913.8696</v>
      </c>
      <c r="J646" s="1"/>
      <c r="K646" s="164"/>
      <c r="L646" s="164">
        <v>543.0</v>
      </c>
      <c r="M646" s="165">
        <f t="shared" si="7"/>
        <v>1328400.069</v>
      </c>
      <c r="N646" s="166">
        <f t="shared" si="8"/>
        <v>773.5934263</v>
      </c>
      <c r="O646" s="169">
        <f t="shared" si="9"/>
        <v>131688.5529</v>
      </c>
      <c r="P646" s="171">
        <f t="shared" si="550"/>
        <v>265075.9496</v>
      </c>
      <c r="Q646" s="172"/>
      <c r="R646" s="172"/>
    </row>
    <row r="647" ht="14.25" customHeight="1" outlineLevel="1">
      <c r="A647" s="1"/>
      <c r="B647" s="163"/>
      <c r="C647" s="163"/>
      <c r="D647" s="164"/>
      <c r="E647" s="164">
        <v>544.0</v>
      </c>
      <c r="F647" s="165">
        <f t="shared" si="5"/>
        <v>1422726.454</v>
      </c>
      <c r="G647" s="166">
        <f t="shared" si="2"/>
        <v>818.0677113</v>
      </c>
      <c r="H647" s="167">
        <f t="shared" si="3"/>
        <v>87102.45645</v>
      </c>
      <c r="I647" s="168">
        <f t="shared" si="6"/>
        <v>131731.9373</v>
      </c>
      <c r="J647" s="1"/>
      <c r="K647" s="164"/>
      <c r="L647" s="164">
        <v>544.0</v>
      </c>
      <c r="M647" s="165">
        <f t="shared" si="7"/>
        <v>1335623.998</v>
      </c>
      <c r="N647" s="166">
        <f t="shared" si="8"/>
        <v>777.7471855</v>
      </c>
      <c r="O647" s="169">
        <f t="shared" si="9"/>
        <v>132466.3001</v>
      </c>
      <c r="P647" s="171">
        <f t="shared" si="550"/>
        <v>265564.119</v>
      </c>
      <c r="Q647" s="172"/>
      <c r="R647" s="172"/>
    </row>
    <row r="648" ht="14.25" customHeight="1" outlineLevel="1">
      <c r="A648" s="1"/>
      <c r="B648" s="163"/>
      <c r="C648" s="163"/>
      <c r="D648" s="164"/>
      <c r="E648" s="164">
        <v>545.0</v>
      </c>
      <c r="F648" s="165">
        <f t="shared" si="5"/>
        <v>1430438.993</v>
      </c>
      <c r="G648" s="166">
        <f t="shared" si="2"/>
        <v>822.5024209</v>
      </c>
      <c r="H648" s="167">
        <f t="shared" si="3"/>
        <v>87554.3979</v>
      </c>
      <c r="I648" s="168">
        <f t="shared" si="6"/>
        <v>132554.4397</v>
      </c>
      <c r="J648" s="1"/>
      <c r="K648" s="164"/>
      <c r="L648" s="164">
        <v>545.0</v>
      </c>
      <c r="M648" s="165">
        <f t="shared" si="7"/>
        <v>1342884.595</v>
      </c>
      <c r="N648" s="166">
        <f t="shared" si="8"/>
        <v>781.9220289</v>
      </c>
      <c r="O648" s="169">
        <f t="shared" si="9"/>
        <v>133248.2221</v>
      </c>
      <c r="P648" s="171">
        <f t="shared" si="550"/>
        <v>266052.2883</v>
      </c>
      <c r="Q648" s="172"/>
      <c r="R648" s="172"/>
    </row>
    <row r="649" ht="14.25" customHeight="1" outlineLevel="1">
      <c r="A649" s="1"/>
      <c r="B649" s="163"/>
      <c r="C649" s="163"/>
      <c r="D649" s="164"/>
      <c r="E649" s="164">
        <v>546.0</v>
      </c>
      <c r="F649" s="165">
        <f t="shared" si="5"/>
        <v>1438190.68</v>
      </c>
      <c r="G649" s="166">
        <f t="shared" si="2"/>
        <v>826.9596407</v>
      </c>
      <c r="H649" s="167">
        <f t="shared" si="3"/>
        <v>88008.63335</v>
      </c>
      <c r="I649" s="168">
        <f t="shared" si="6"/>
        <v>133381.3994</v>
      </c>
      <c r="J649" s="1"/>
      <c r="K649" s="164"/>
      <c r="L649" s="164">
        <v>546.0</v>
      </c>
      <c r="M649" s="165">
        <f t="shared" si="7"/>
        <v>1350182.046</v>
      </c>
      <c r="N649" s="166">
        <f t="shared" si="8"/>
        <v>786.1180633</v>
      </c>
      <c r="O649" s="169">
        <f t="shared" si="9"/>
        <v>134034.3402</v>
      </c>
      <c r="P649" s="171">
        <f t="shared" si="550"/>
        <v>266540.4577</v>
      </c>
      <c r="Q649" s="172"/>
      <c r="R649" s="172"/>
    </row>
    <row r="650" ht="14.25" customHeight="1" outlineLevel="1">
      <c r="A650" s="1"/>
      <c r="B650" s="163"/>
      <c r="C650" s="163"/>
      <c r="D650" s="164"/>
      <c r="E650" s="164">
        <v>547.0</v>
      </c>
      <c r="F650" s="165">
        <f t="shared" si="5"/>
        <v>1445981.713</v>
      </c>
      <c r="G650" s="166">
        <f t="shared" si="2"/>
        <v>831.4394849</v>
      </c>
      <c r="H650" s="167">
        <f t="shared" si="3"/>
        <v>88465.17446</v>
      </c>
      <c r="I650" s="168">
        <f t="shared" si="6"/>
        <v>134212.8389</v>
      </c>
      <c r="J650" s="1"/>
      <c r="K650" s="164"/>
      <c r="L650" s="164">
        <v>547.0</v>
      </c>
      <c r="M650" s="165">
        <f t="shared" si="7"/>
        <v>1357516.538</v>
      </c>
      <c r="N650" s="166">
        <f t="shared" si="8"/>
        <v>790.3353963</v>
      </c>
      <c r="O650" s="169">
        <f t="shared" si="9"/>
        <v>134824.6756</v>
      </c>
      <c r="P650" s="171">
        <f t="shared" si="550"/>
        <v>267028.627</v>
      </c>
      <c r="Q650" s="172"/>
      <c r="R650" s="172"/>
    </row>
    <row r="651" ht="14.25" customHeight="1" outlineLevel="1">
      <c r="A651" s="1"/>
      <c r="B651" s="163"/>
      <c r="C651" s="163"/>
      <c r="D651" s="164"/>
      <c r="E651" s="164">
        <v>548.0</v>
      </c>
      <c r="F651" s="165">
        <f t="shared" si="5"/>
        <v>1453812.293</v>
      </c>
      <c r="G651" s="166">
        <f t="shared" si="2"/>
        <v>835.9420683</v>
      </c>
      <c r="H651" s="167">
        <f t="shared" si="3"/>
        <v>88924.03292</v>
      </c>
      <c r="I651" s="168">
        <f t="shared" si="6"/>
        <v>135048.7809</v>
      </c>
      <c r="J651" s="1"/>
      <c r="K651" s="164"/>
      <c r="L651" s="164">
        <v>548.0</v>
      </c>
      <c r="M651" s="165">
        <f t="shared" si="7"/>
        <v>1364888.26</v>
      </c>
      <c r="N651" s="166">
        <f t="shared" si="8"/>
        <v>794.5741361</v>
      </c>
      <c r="O651" s="169">
        <f t="shared" si="9"/>
        <v>135619.2497</v>
      </c>
      <c r="P651" s="171">
        <f t="shared" si="550"/>
        <v>267516.7963</v>
      </c>
      <c r="Q651" s="172"/>
      <c r="R651" s="172"/>
    </row>
    <row r="652" ht="14.25" customHeight="1" outlineLevel="1">
      <c r="A652" s="1"/>
      <c r="B652" s="163"/>
      <c r="C652" s="163"/>
      <c r="D652" s="164"/>
      <c r="E652" s="164">
        <v>549.0</v>
      </c>
      <c r="F652" s="165">
        <f t="shared" si="5"/>
        <v>1461682.62</v>
      </c>
      <c r="G652" s="166">
        <f t="shared" si="2"/>
        <v>840.4675063</v>
      </c>
      <c r="H652" s="167">
        <f t="shared" si="3"/>
        <v>89385.2205</v>
      </c>
      <c r="I652" s="168">
        <f t="shared" si="6"/>
        <v>135889.2484</v>
      </c>
      <c r="J652" s="1"/>
      <c r="K652" s="164"/>
      <c r="L652" s="164">
        <v>549.0</v>
      </c>
      <c r="M652" s="165">
        <f t="shared" si="7"/>
        <v>1372297.399</v>
      </c>
      <c r="N652" s="166">
        <f t="shared" si="8"/>
        <v>798.8343912</v>
      </c>
      <c r="O652" s="169">
        <f t="shared" si="9"/>
        <v>136418.0841</v>
      </c>
      <c r="P652" s="171">
        <f t="shared" si="550"/>
        <v>268004.9657</v>
      </c>
      <c r="Q652" s="172"/>
      <c r="R652" s="172"/>
    </row>
    <row r="653" ht="14.25" customHeight="1" outlineLevel="1">
      <c r="A653" s="1"/>
      <c r="B653" s="163"/>
      <c r="C653" s="163"/>
      <c r="D653" s="164"/>
      <c r="E653" s="164">
        <v>550.0</v>
      </c>
      <c r="F653" s="165">
        <f t="shared" si="5"/>
        <v>1469592.896</v>
      </c>
      <c r="G653" s="166">
        <f t="shared" si="2"/>
        <v>845.0159149</v>
      </c>
      <c r="H653" s="167">
        <f t="shared" si="3"/>
        <v>89848.74902</v>
      </c>
      <c r="I653" s="168">
        <f t="shared" si="6"/>
        <v>136734.2643</v>
      </c>
      <c r="J653" s="1"/>
      <c r="K653" s="164"/>
      <c r="L653" s="164">
        <v>550.0</v>
      </c>
      <c r="M653" s="165">
        <f t="shared" si="7"/>
        <v>1379744.147</v>
      </c>
      <c r="N653" s="166">
        <f t="shared" si="8"/>
        <v>803.116271</v>
      </c>
      <c r="O653" s="169">
        <f t="shared" si="9"/>
        <v>137221.2004</v>
      </c>
      <c r="P653" s="171">
        <f t="shared" si="550"/>
        <v>268493.135</v>
      </c>
      <c r="Q653" s="172"/>
      <c r="R653" s="172"/>
    </row>
    <row r="654" ht="14.25" customHeight="1" outlineLevel="1">
      <c r="A654" s="1"/>
      <c r="B654" s="163"/>
      <c r="C654" s="163"/>
      <c r="D654" s="164"/>
      <c r="E654" s="164">
        <v>551.0</v>
      </c>
      <c r="F654" s="165">
        <f t="shared" si="5"/>
        <v>1477543.323</v>
      </c>
      <c r="G654" s="166">
        <f t="shared" si="2"/>
        <v>849.5874108</v>
      </c>
      <c r="H654" s="167">
        <f t="shared" si="3"/>
        <v>90314.63036</v>
      </c>
      <c r="I654" s="168">
        <f t="shared" si="6"/>
        <v>137583.8518</v>
      </c>
      <c r="J654" s="1"/>
      <c r="K654" s="164"/>
      <c r="L654" s="164">
        <v>551.0</v>
      </c>
      <c r="M654" s="165">
        <f t="shared" si="7"/>
        <v>1387228.693</v>
      </c>
      <c r="N654" s="166">
        <f t="shared" si="8"/>
        <v>807.4198851</v>
      </c>
      <c r="O654" s="169">
        <f t="shared" si="9"/>
        <v>138028.6202</v>
      </c>
      <c r="P654" s="171">
        <f t="shared" si="550"/>
        <v>268981.3043</v>
      </c>
      <c r="Q654" s="172"/>
      <c r="R654" s="172"/>
    </row>
    <row r="655" ht="14.25" customHeight="1" outlineLevel="1">
      <c r="A655" s="1"/>
      <c r="B655" s="163"/>
      <c r="C655" s="163"/>
      <c r="D655" s="164">
        <v>46.0</v>
      </c>
      <c r="E655" s="164">
        <v>552.0</v>
      </c>
      <c r="F655" s="165">
        <f t="shared" si="5"/>
        <v>1485534.106</v>
      </c>
      <c r="G655" s="166">
        <f t="shared" si="2"/>
        <v>854.1821112</v>
      </c>
      <c r="H655" s="167">
        <f t="shared" si="3"/>
        <v>90782.87646</v>
      </c>
      <c r="I655" s="168">
        <f t="shared" si="6"/>
        <v>138438.0339</v>
      </c>
      <c r="J655" s="1"/>
      <c r="K655" s="164">
        <v>46.0</v>
      </c>
      <c r="L655" s="164">
        <v>552.0</v>
      </c>
      <c r="M655" s="165">
        <f t="shared" si="7"/>
        <v>1394751.23</v>
      </c>
      <c r="N655" s="166">
        <f t="shared" si="8"/>
        <v>811.7453439</v>
      </c>
      <c r="O655" s="169">
        <f t="shared" si="9"/>
        <v>138840.3656</v>
      </c>
      <c r="P655" s="171">
        <f t="shared" si="550"/>
        <v>269469.4737</v>
      </c>
      <c r="Q655" s="172"/>
      <c r="R655" s="172"/>
    </row>
    <row r="656" ht="14.25" customHeight="1" outlineLevel="1">
      <c r="A656" s="1"/>
      <c r="B656" s="163"/>
      <c r="C656" s="163"/>
      <c r="D656" s="164"/>
      <c r="E656" s="164">
        <v>553.0</v>
      </c>
      <c r="F656" s="165">
        <f t="shared" si="5"/>
        <v>1493565.45</v>
      </c>
      <c r="G656" s="166">
        <f t="shared" si="2"/>
        <v>858.8001337</v>
      </c>
      <c r="H656" s="167">
        <f t="shared" si="3"/>
        <v>91253.49933</v>
      </c>
      <c r="I656" s="168">
        <f t="shared" si="6"/>
        <v>139296.834</v>
      </c>
      <c r="J656" s="1"/>
      <c r="K656" s="164"/>
      <c r="L656" s="164">
        <v>553.0</v>
      </c>
      <c r="M656" s="165">
        <f t="shared" si="7"/>
        <v>1402311.951</v>
      </c>
      <c r="N656" s="166">
        <f t="shared" si="8"/>
        <v>816.0927583</v>
      </c>
      <c r="O656" s="169">
        <f t="shared" si="9"/>
        <v>139656.4583</v>
      </c>
      <c r="P656" s="171">
        <f t="shared" si="550"/>
        <v>269957.643</v>
      </c>
      <c r="Q656" s="172"/>
      <c r="R656" s="172"/>
    </row>
    <row r="657" ht="14.25" customHeight="1" outlineLevel="1">
      <c r="A657" s="1"/>
      <c r="B657" s="163"/>
      <c r="C657" s="163"/>
      <c r="D657" s="164"/>
      <c r="E657" s="164">
        <v>554.0</v>
      </c>
      <c r="F657" s="165">
        <f t="shared" si="5"/>
        <v>1501637.56</v>
      </c>
      <c r="G657" s="166">
        <f t="shared" si="2"/>
        <v>863.4415968</v>
      </c>
      <c r="H657" s="167">
        <f t="shared" si="3"/>
        <v>91726.51103</v>
      </c>
      <c r="I657" s="168">
        <f t="shared" si="6"/>
        <v>140160.2756</v>
      </c>
      <c r="J657" s="1"/>
      <c r="K657" s="164"/>
      <c r="L657" s="164">
        <v>554.0</v>
      </c>
      <c r="M657" s="165">
        <f t="shared" si="7"/>
        <v>1409911.049</v>
      </c>
      <c r="N657" s="166">
        <f t="shared" si="8"/>
        <v>820.4622397</v>
      </c>
      <c r="O657" s="169">
        <f t="shared" si="9"/>
        <v>140476.9206</v>
      </c>
      <c r="P657" s="171">
        <f t="shared" si="550"/>
        <v>270445.8123</v>
      </c>
      <c r="Q657" s="172"/>
      <c r="R657" s="172"/>
    </row>
    <row r="658" ht="14.25" customHeight="1" outlineLevel="1">
      <c r="A658" s="1"/>
      <c r="B658" s="163"/>
      <c r="C658" s="163"/>
      <c r="D658" s="164"/>
      <c r="E658" s="164">
        <v>555.0</v>
      </c>
      <c r="F658" s="165">
        <f t="shared" si="5"/>
        <v>1509750.643</v>
      </c>
      <c r="G658" s="166">
        <f t="shared" si="2"/>
        <v>868.1066196</v>
      </c>
      <c r="H658" s="167">
        <f t="shared" si="3"/>
        <v>92201.9237</v>
      </c>
      <c r="I658" s="168">
        <f t="shared" si="6"/>
        <v>141028.3822</v>
      </c>
      <c r="J658" s="1"/>
      <c r="K658" s="164"/>
      <c r="L658" s="164">
        <v>555.0</v>
      </c>
      <c r="M658" s="165">
        <f t="shared" si="7"/>
        <v>1417548.719</v>
      </c>
      <c r="N658" s="166">
        <f t="shared" si="8"/>
        <v>824.8539002</v>
      </c>
      <c r="O658" s="169">
        <f t="shared" si="9"/>
        <v>141301.7745</v>
      </c>
      <c r="P658" s="171">
        <f t="shared" si="550"/>
        <v>270933.9817</v>
      </c>
      <c r="Q658" s="172"/>
      <c r="R658" s="172"/>
    </row>
    <row r="659" ht="14.25" customHeight="1" outlineLevel="1">
      <c r="A659" s="1"/>
      <c r="B659" s="163"/>
      <c r="C659" s="163"/>
      <c r="D659" s="164"/>
      <c r="E659" s="164">
        <v>556.0</v>
      </c>
      <c r="F659" s="165">
        <f t="shared" si="5"/>
        <v>1517904.907</v>
      </c>
      <c r="G659" s="166">
        <f t="shared" si="2"/>
        <v>872.7953214</v>
      </c>
      <c r="H659" s="167">
        <f t="shared" si="3"/>
        <v>92679.7495</v>
      </c>
      <c r="I659" s="168">
        <f t="shared" si="6"/>
        <v>141901.1775</v>
      </c>
      <c r="J659" s="1"/>
      <c r="K659" s="164"/>
      <c r="L659" s="164">
        <v>556.0</v>
      </c>
      <c r="M659" s="165">
        <f t="shared" si="7"/>
        <v>1425225.157</v>
      </c>
      <c r="N659" s="166">
        <f t="shared" si="8"/>
        <v>829.2678522</v>
      </c>
      <c r="O659" s="169">
        <f t="shared" si="9"/>
        <v>142131.0423</v>
      </c>
      <c r="P659" s="171">
        <f t="shared" si="550"/>
        <v>271422.151</v>
      </c>
      <c r="Q659" s="172"/>
      <c r="R659" s="172"/>
    </row>
    <row r="660" ht="14.25" customHeight="1" outlineLevel="1">
      <c r="A660" s="1"/>
      <c r="B660" s="163"/>
      <c r="C660" s="163"/>
      <c r="D660" s="164"/>
      <c r="E660" s="164">
        <v>557.0</v>
      </c>
      <c r="F660" s="165">
        <f t="shared" si="5"/>
        <v>1526100.561</v>
      </c>
      <c r="G660" s="166">
        <f t="shared" si="2"/>
        <v>877.5078227</v>
      </c>
      <c r="H660" s="167">
        <f t="shared" si="3"/>
        <v>93160.0007</v>
      </c>
      <c r="I660" s="168">
        <f t="shared" si="6"/>
        <v>142778.6854</v>
      </c>
      <c r="J660" s="1"/>
      <c r="K660" s="164"/>
      <c r="L660" s="164">
        <v>557.0</v>
      </c>
      <c r="M660" s="165">
        <f t="shared" si="7"/>
        <v>1432940.56</v>
      </c>
      <c r="N660" s="166">
        <f t="shared" si="8"/>
        <v>833.704209</v>
      </c>
      <c r="O660" s="169">
        <f t="shared" si="9"/>
        <v>142964.7466</v>
      </c>
      <c r="P660" s="171">
        <f t="shared" si="550"/>
        <v>271910.3203</v>
      </c>
      <c r="Q660" s="172"/>
      <c r="R660" s="172"/>
    </row>
    <row r="661" ht="14.25" customHeight="1" outlineLevel="1">
      <c r="A661" s="1"/>
      <c r="B661" s="163"/>
      <c r="C661" s="163"/>
      <c r="D661" s="164"/>
      <c r="E661" s="164">
        <v>558.0</v>
      </c>
      <c r="F661" s="165">
        <f t="shared" si="5"/>
        <v>1534337.816</v>
      </c>
      <c r="G661" s="166">
        <f t="shared" si="2"/>
        <v>882.244244</v>
      </c>
      <c r="H661" s="167">
        <f t="shared" si="3"/>
        <v>93642.6896</v>
      </c>
      <c r="I661" s="168">
        <f t="shared" si="6"/>
        <v>143660.9296</v>
      </c>
      <c r="J661" s="1"/>
      <c r="K661" s="164"/>
      <c r="L661" s="164">
        <v>558.0</v>
      </c>
      <c r="M661" s="165">
        <f t="shared" si="7"/>
        <v>1440695.126</v>
      </c>
      <c r="N661" s="166">
        <f t="shared" si="8"/>
        <v>838.1630842</v>
      </c>
      <c r="O661" s="169">
        <f t="shared" si="9"/>
        <v>143802.9096</v>
      </c>
      <c r="P661" s="171">
        <f t="shared" si="550"/>
        <v>272398.4897</v>
      </c>
      <c r="Q661" s="172"/>
      <c r="R661" s="172"/>
    </row>
    <row r="662" ht="14.25" customHeight="1" outlineLevel="1">
      <c r="A662" s="1"/>
      <c r="B662" s="163"/>
      <c r="C662" s="163"/>
      <c r="D662" s="164"/>
      <c r="E662" s="164">
        <v>559.0</v>
      </c>
      <c r="F662" s="165">
        <f t="shared" si="5"/>
        <v>1542616.882</v>
      </c>
      <c r="G662" s="166">
        <f t="shared" si="2"/>
        <v>887.004707</v>
      </c>
      <c r="H662" s="167">
        <f t="shared" si="3"/>
        <v>94127.82858</v>
      </c>
      <c r="I662" s="168">
        <f t="shared" si="6"/>
        <v>144547.9343</v>
      </c>
      <c r="J662" s="1"/>
      <c r="K662" s="164"/>
      <c r="L662" s="164">
        <v>559.0</v>
      </c>
      <c r="M662" s="165">
        <f t="shared" si="7"/>
        <v>1448489.053</v>
      </c>
      <c r="N662" s="166">
        <f t="shared" si="8"/>
        <v>842.6445923</v>
      </c>
      <c r="O662" s="169">
        <f t="shared" si="9"/>
        <v>144645.5542</v>
      </c>
      <c r="P662" s="171">
        <f t="shared" si="550"/>
        <v>272886.659</v>
      </c>
      <c r="Q662" s="172"/>
      <c r="R662" s="172"/>
    </row>
    <row r="663" ht="14.25" customHeight="1" outlineLevel="1">
      <c r="A663" s="1"/>
      <c r="B663" s="163"/>
      <c r="C663" s="163"/>
      <c r="D663" s="164"/>
      <c r="E663" s="164">
        <v>560.0</v>
      </c>
      <c r="F663" s="165">
        <f t="shared" si="5"/>
        <v>1550937.971</v>
      </c>
      <c r="G663" s="166">
        <f t="shared" si="2"/>
        <v>891.7893336</v>
      </c>
      <c r="H663" s="167">
        <f t="shared" si="3"/>
        <v>94615.43008</v>
      </c>
      <c r="I663" s="168">
        <f t="shared" si="6"/>
        <v>145439.7236</v>
      </c>
      <c r="J663" s="1"/>
      <c r="K663" s="164"/>
      <c r="L663" s="164">
        <v>560.0</v>
      </c>
      <c r="M663" s="165">
        <f t="shared" si="7"/>
        <v>1456322.541</v>
      </c>
      <c r="N663" s="166">
        <f t="shared" si="8"/>
        <v>847.148848</v>
      </c>
      <c r="O663" s="169">
        <f t="shared" si="9"/>
        <v>145492.7031</v>
      </c>
      <c r="P663" s="171">
        <f t="shared" si="550"/>
        <v>273374.8284</v>
      </c>
      <c r="Q663" s="172"/>
      <c r="R663" s="172"/>
    </row>
    <row r="664" ht="14.25" customHeight="1" outlineLevel="1">
      <c r="A664" s="1"/>
      <c r="B664" s="163"/>
      <c r="C664" s="163"/>
      <c r="D664" s="164"/>
      <c r="E664" s="164">
        <v>561.0</v>
      </c>
      <c r="F664" s="165">
        <f t="shared" si="5"/>
        <v>1559301.298</v>
      </c>
      <c r="G664" s="166">
        <f t="shared" si="2"/>
        <v>896.5982464</v>
      </c>
      <c r="H664" s="167">
        <f t="shared" si="3"/>
        <v>95105.50658</v>
      </c>
      <c r="I664" s="168">
        <f t="shared" si="6"/>
        <v>146336.3219</v>
      </c>
      <c r="J664" s="1"/>
      <c r="K664" s="164"/>
      <c r="L664" s="164">
        <v>561.0</v>
      </c>
      <c r="M664" s="165">
        <f t="shared" si="7"/>
        <v>1464195.791</v>
      </c>
      <c r="N664" s="166">
        <f t="shared" si="8"/>
        <v>851.6759668</v>
      </c>
      <c r="O664" s="169">
        <f t="shared" si="9"/>
        <v>146344.379</v>
      </c>
      <c r="P664" s="171">
        <f t="shared" si="550"/>
        <v>273862.9977</v>
      </c>
      <c r="Q664" s="172"/>
      <c r="R664" s="172"/>
    </row>
    <row r="665" ht="14.25" customHeight="1" outlineLevel="1">
      <c r="A665" s="1"/>
      <c r="B665" s="163"/>
      <c r="C665" s="163"/>
      <c r="D665" s="164"/>
      <c r="E665" s="164">
        <v>562.0</v>
      </c>
      <c r="F665" s="165">
        <f t="shared" si="5"/>
        <v>1567707.076</v>
      </c>
      <c r="G665" s="166">
        <f t="shared" si="2"/>
        <v>901.4315688</v>
      </c>
      <c r="H665" s="167">
        <f t="shared" si="3"/>
        <v>95598.07067</v>
      </c>
      <c r="I665" s="168">
        <f t="shared" si="6"/>
        <v>147237.7535</v>
      </c>
      <c r="J665" s="1"/>
      <c r="K665" s="164"/>
      <c r="L665" s="164">
        <v>562.0</v>
      </c>
      <c r="M665" s="165">
        <f t="shared" si="7"/>
        <v>1472109.005</v>
      </c>
      <c r="N665" s="166">
        <f t="shared" si="8"/>
        <v>856.2260648</v>
      </c>
      <c r="O665" s="169">
        <f t="shared" si="9"/>
        <v>147200.6051</v>
      </c>
      <c r="P665" s="171">
        <f t="shared" si="550"/>
        <v>274351.167</v>
      </c>
      <c r="Q665" s="172"/>
      <c r="R665" s="172"/>
    </row>
    <row r="666" ht="14.25" customHeight="1" outlineLevel="1">
      <c r="A666" s="1"/>
      <c r="B666" s="163"/>
      <c r="C666" s="163"/>
      <c r="D666" s="164"/>
      <c r="E666" s="164">
        <v>563.0</v>
      </c>
      <c r="F666" s="165">
        <f t="shared" si="5"/>
        <v>1576155.521</v>
      </c>
      <c r="G666" s="166">
        <f t="shared" si="2"/>
        <v>906.2894245</v>
      </c>
      <c r="H666" s="167">
        <f t="shared" si="3"/>
        <v>96093.13496</v>
      </c>
      <c r="I666" s="168">
        <f t="shared" si="6"/>
        <v>148144.0429</v>
      </c>
      <c r="J666" s="1"/>
      <c r="K666" s="164"/>
      <c r="L666" s="164">
        <v>563.0</v>
      </c>
      <c r="M666" s="165">
        <f t="shared" si="7"/>
        <v>1480062.386</v>
      </c>
      <c r="N666" s="166">
        <f t="shared" si="8"/>
        <v>860.7992587</v>
      </c>
      <c r="O666" s="169">
        <f t="shared" si="9"/>
        <v>148061.4044</v>
      </c>
      <c r="P666" s="171">
        <f t="shared" si="550"/>
        <v>274839.3364</v>
      </c>
      <c r="Q666" s="172"/>
      <c r="R666" s="172"/>
    </row>
    <row r="667" ht="14.25" customHeight="1" outlineLevel="1">
      <c r="A667" s="1"/>
      <c r="B667" s="163"/>
      <c r="C667" s="163"/>
      <c r="D667" s="164">
        <v>47.0</v>
      </c>
      <c r="E667" s="164">
        <v>564.0</v>
      </c>
      <c r="F667" s="165">
        <f t="shared" si="5"/>
        <v>1584646.849</v>
      </c>
      <c r="G667" s="166">
        <f t="shared" si="2"/>
        <v>911.1719383</v>
      </c>
      <c r="H667" s="167">
        <f t="shared" si="3"/>
        <v>96590.71214</v>
      </c>
      <c r="I667" s="168">
        <f t="shared" si="6"/>
        <v>149055.2148</v>
      </c>
      <c r="J667" s="1"/>
      <c r="K667" s="164">
        <v>47.0</v>
      </c>
      <c r="L667" s="164">
        <v>564.0</v>
      </c>
      <c r="M667" s="165">
        <f t="shared" si="7"/>
        <v>1488056.137</v>
      </c>
      <c r="N667" s="166">
        <f t="shared" si="8"/>
        <v>865.3956655</v>
      </c>
      <c r="O667" s="169">
        <f t="shared" si="9"/>
        <v>148926.8</v>
      </c>
      <c r="P667" s="171">
        <f t="shared" si="550"/>
        <v>275327.5057</v>
      </c>
      <c r="Q667" s="172"/>
      <c r="R667" s="172"/>
    </row>
    <row r="668" ht="14.25" customHeight="1" outlineLevel="1">
      <c r="A668" s="1"/>
      <c r="B668" s="163"/>
      <c r="C668" s="163"/>
      <c r="D668" s="164"/>
      <c r="E668" s="164">
        <v>565.0</v>
      </c>
      <c r="F668" s="165">
        <f t="shared" si="5"/>
        <v>1593181.279</v>
      </c>
      <c r="G668" s="166">
        <f t="shared" si="2"/>
        <v>916.0792352</v>
      </c>
      <c r="H668" s="167">
        <f t="shared" si="3"/>
        <v>97090.81497</v>
      </c>
      <c r="I668" s="168">
        <f t="shared" si="6"/>
        <v>149971.2941</v>
      </c>
      <c r="J668" s="1"/>
      <c r="K668" s="164"/>
      <c r="L668" s="164">
        <v>565.0</v>
      </c>
      <c r="M668" s="165">
        <f t="shared" si="7"/>
        <v>1496090.464</v>
      </c>
      <c r="N668" s="166">
        <f t="shared" si="8"/>
        <v>870.0154033</v>
      </c>
      <c r="O668" s="169">
        <f t="shared" si="9"/>
        <v>149796.8154</v>
      </c>
      <c r="P668" s="171">
        <f t="shared" si="550"/>
        <v>275815.675</v>
      </c>
      <c r="Q668" s="172"/>
      <c r="R668" s="172"/>
    </row>
    <row r="669" ht="14.25" customHeight="1" outlineLevel="1">
      <c r="A669" s="1"/>
      <c r="B669" s="163"/>
      <c r="C669" s="163"/>
      <c r="D669" s="164"/>
      <c r="E669" s="164">
        <v>566.0</v>
      </c>
      <c r="F669" s="165">
        <f t="shared" si="5"/>
        <v>1601759.028</v>
      </c>
      <c r="G669" s="166">
        <f t="shared" si="2"/>
        <v>921.011441</v>
      </c>
      <c r="H669" s="167">
        <f t="shared" si="3"/>
        <v>97593.45627</v>
      </c>
      <c r="I669" s="168">
        <f t="shared" si="6"/>
        <v>150892.3055</v>
      </c>
      <c r="J669" s="1"/>
      <c r="K669" s="164"/>
      <c r="L669" s="164">
        <v>566.0</v>
      </c>
      <c r="M669" s="165">
        <f t="shared" si="7"/>
        <v>1504165.572</v>
      </c>
      <c r="N669" s="166">
        <f t="shared" si="8"/>
        <v>874.6585903</v>
      </c>
      <c r="O669" s="169">
        <f t="shared" si="9"/>
        <v>150671.474</v>
      </c>
      <c r="P669" s="171">
        <f t="shared" si="550"/>
        <v>276303.8444</v>
      </c>
      <c r="Q669" s="172"/>
      <c r="R669" s="172"/>
    </row>
    <row r="670" ht="14.25" customHeight="1" outlineLevel="1">
      <c r="A670" s="1"/>
      <c r="B670" s="163"/>
      <c r="C670" s="163"/>
      <c r="D670" s="164"/>
      <c r="E670" s="164">
        <v>567.0</v>
      </c>
      <c r="F670" s="165">
        <f t="shared" si="5"/>
        <v>1610380.317</v>
      </c>
      <c r="G670" s="166">
        <f t="shared" si="2"/>
        <v>925.9686821</v>
      </c>
      <c r="H670" s="167">
        <f t="shared" si="3"/>
        <v>98098.64892</v>
      </c>
      <c r="I670" s="168">
        <f t="shared" si="6"/>
        <v>151818.2742</v>
      </c>
      <c r="J670" s="1"/>
      <c r="K670" s="164"/>
      <c r="L670" s="164">
        <v>567.0</v>
      </c>
      <c r="M670" s="165">
        <f t="shared" si="7"/>
        <v>1512281.668</v>
      </c>
      <c r="N670" s="166">
        <f t="shared" si="8"/>
        <v>879.3253457</v>
      </c>
      <c r="O670" s="169">
        <f t="shared" si="9"/>
        <v>151550.7994</v>
      </c>
      <c r="P670" s="171">
        <f t="shared" si="550"/>
        <v>276792.0137</v>
      </c>
      <c r="Q670" s="172"/>
      <c r="R670" s="172"/>
    </row>
    <row r="671" ht="14.25" customHeight="1" outlineLevel="1">
      <c r="A671" s="1"/>
      <c r="B671" s="163"/>
      <c r="C671" s="163"/>
      <c r="D671" s="164"/>
      <c r="E671" s="164">
        <v>568.0</v>
      </c>
      <c r="F671" s="165">
        <f t="shared" si="5"/>
        <v>1619045.366</v>
      </c>
      <c r="G671" s="166">
        <f t="shared" si="2"/>
        <v>930.9510857</v>
      </c>
      <c r="H671" s="167">
        <f t="shared" si="3"/>
        <v>98606.40588</v>
      </c>
      <c r="I671" s="168">
        <f t="shared" si="6"/>
        <v>152749.2253</v>
      </c>
      <c r="J671" s="1"/>
      <c r="K671" s="164"/>
      <c r="L671" s="164">
        <v>568.0</v>
      </c>
      <c r="M671" s="165">
        <f t="shared" si="7"/>
        <v>1520438.961</v>
      </c>
      <c r="N671" s="166">
        <f t="shared" si="8"/>
        <v>884.0157891</v>
      </c>
      <c r="O671" s="169">
        <f t="shared" si="9"/>
        <v>152434.8152</v>
      </c>
      <c r="P671" s="171">
        <f t="shared" si="550"/>
        <v>277280.183</v>
      </c>
      <c r="Q671" s="172"/>
      <c r="R671" s="172"/>
    </row>
    <row r="672" ht="14.25" customHeight="1" outlineLevel="1">
      <c r="A672" s="1"/>
      <c r="B672" s="163"/>
      <c r="C672" s="163"/>
      <c r="D672" s="164"/>
      <c r="E672" s="164">
        <v>569.0</v>
      </c>
      <c r="F672" s="165">
        <f t="shared" si="5"/>
        <v>1627754.399</v>
      </c>
      <c r="G672" s="166">
        <f t="shared" si="2"/>
        <v>935.9587795</v>
      </c>
      <c r="H672" s="167">
        <f t="shared" si="3"/>
        <v>99116.74016</v>
      </c>
      <c r="I672" s="168">
        <f t="shared" si="6"/>
        <v>153685.184</v>
      </c>
      <c r="J672" s="1"/>
      <c r="K672" s="164"/>
      <c r="L672" s="164">
        <v>569.0</v>
      </c>
      <c r="M672" s="165">
        <f t="shared" si="7"/>
        <v>1528637.659</v>
      </c>
      <c r="N672" s="166">
        <f t="shared" si="8"/>
        <v>888.7300406</v>
      </c>
      <c r="O672" s="169">
        <f t="shared" si="9"/>
        <v>153323.5452</v>
      </c>
      <c r="P672" s="171">
        <f t="shared" si="550"/>
        <v>277768.3524</v>
      </c>
      <c r="Q672" s="172"/>
      <c r="R672" s="172"/>
    </row>
    <row r="673" ht="14.25" customHeight="1" outlineLevel="1">
      <c r="A673" s="1"/>
      <c r="B673" s="163"/>
      <c r="C673" s="163"/>
      <c r="D673" s="164"/>
      <c r="E673" s="164">
        <v>570.0</v>
      </c>
      <c r="F673" s="165">
        <f t="shared" si="5"/>
        <v>1636507.638</v>
      </c>
      <c r="G673" s="166">
        <f t="shared" si="2"/>
        <v>940.9918917</v>
      </c>
      <c r="H673" s="167">
        <f t="shared" si="3"/>
        <v>99629.66484</v>
      </c>
      <c r="I673" s="168">
        <f t="shared" si="6"/>
        <v>154626.1759</v>
      </c>
      <c r="J673" s="1"/>
      <c r="K673" s="164"/>
      <c r="L673" s="164">
        <v>570.0</v>
      </c>
      <c r="M673" s="165">
        <f t="shared" si="7"/>
        <v>1536877.973</v>
      </c>
      <c r="N673" s="166">
        <f t="shared" si="8"/>
        <v>893.4682212</v>
      </c>
      <c r="O673" s="169">
        <f t="shared" si="9"/>
        <v>154217.0134</v>
      </c>
      <c r="P673" s="171">
        <f t="shared" si="550"/>
        <v>278256.5217</v>
      </c>
      <c r="Q673" s="172"/>
      <c r="R673" s="172"/>
    </row>
    <row r="674" ht="14.25" customHeight="1" outlineLevel="1">
      <c r="A674" s="1"/>
      <c r="B674" s="163"/>
      <c r="C674" s="163"/>
      <c r="D674" s="164"/>
      <c r="E674" s="164">
        <v>571.0</v>
      </c>
      <c r="F674" s="165">
        <f t="shared" si="5"/>
        <v>1645305.307</v>
      </c>
      <c r="G674" s="166">
        <f t="shared" si="2"/>
        <v>946.0505515</v>
      </c>
      <c r="H674" s="167">
        <f t="shared" si="3"/>
        <v>100145.1931</v>
      </c>
      <c r="I674" s="168">
        <f t="shared" si="6"/>
        <v>155572.2265</v>
      </c>
      <c r="J674" s="1"/>
      <c r="K674" s="164"/>
      <c r="L674" s="164">
        <v>571.0</v>
      </c>
      <c r="M674" s="165">
        <f t="shared" si="7"/>
        <v>1545160.114</v>
      </c>
      <c r="N674" s="166">
        <f t="shared" si="8"/>
        <v>898.2304522</v>
      </c>
      <c r="O674" s="169">
        <f t="shared" si="9"/>
        <v>155115.2439</v>
      </c>
      <c r="P674" s="171">
        <f t="shared" si="550"/>
        <v>278744.6911</v>
      </c>
      <c r="Q674" s="172"/>
      <c r="R674" s="172"/>
    </row>
    <row r="675" ht="14.25" customHeight="1" outlineLevel="1">
      <c r="A675" s="1"/>
      <c r="B675" s="163"/>
      <c r="C675" s="163"/>
      <c r="D675" s="164"/>
      <c r="E675" s="164">
        <v>572.0</v>
      </c>
      <c r="F675" s="165">
        <f t="shared" si="5"/>
        <v>1654147.632</v>
      </c>
      <c r="G675" s="166">
        <f t="shared" si="2"/>
        <v>951.1348886</v>
      </c>
      <c r="H675" s="167">
        <f t="shared" si="3"/>
        <v>100663.3381</v>
      </c>
      <c r="I675" s="168">
        <f t="shared" si="6"/>
        <v>156523.3614</v>
      </c>
      <c r="J675" s="1"/>
      <c r="K675" s="164"/>
      <c r="L675" s="164">
        <v>572.0</v>
      </c>
      <c r="M675" s="165">
        <f t="shared" si="7"/>
        <v>1553484.294</v>
      </c>
      <c r="N675" s="166">
        <f t="shared" si="8"/>
        <v>903.0168559</v>
      </c>
      <c r="O675" s="169">
        <f t="shared" si="9"/>
        <v>156018.2607</v>
      </c>
      <c r="P675" s="171">
        <f t="shared" si="550"/>
        <v>279232.8604</v>
      </c>
      <c r="Q675" s="172"/>
      <c r="R675" s="172"/>
    </row>
    <row r="676" ht="14.25" customHeight="1" outlineLevel="1">
      <c r="A676" s="1"/>
      <c r="B676" s="163"/>
      <c r="C676" s="163"/>
      <c r="D676" s="164"/>
      <c r="E676" s="164">
        <v>573.0</v>
      </c>
      <c r="F676" s="165">
        <f t="shared" si="5"/>
        <v>1663034.84</v>
      </c>
      <c r="G676" s="166">
        <f t="shared" si="2"/>
        <v>956.2450331</v>
      </c>
      <c r="H676" s="167">
        <f t="shared" si="3"/>
        <v>101184.1131</v>
      </c>
      <c r="I676" s="168">
        <f t="shared" si="6"/>
        <v>157479.6064</v>
      </c>
      <c r="J676" s="1"/>
      <c r="K676" s="164"/>
      <c r="L676" s="164">
        <v>573.0</v>
      </c>
      <c r="M676" s="165">
        <f t="shared" si="7"/>
        <v>1561850.727</v>
      </c>
      <c r="N676" s="166">
        <f t="shared" si="8"/>
        <v>907.8275548</v>
      </c>
      <c r="O676" s="169">
        <f t="shared" si="9"/>
        <v>156926.0883</v>
      </c>
      <c r="P676" s="171">
        <f t="shared" si="550"/>
        <v>279721.0297</v>
      </c>
      <c r="Q676" s="172"/>
      <c r="R676" s="172"/>
    </row>
    <row r="677" ht="14.25" customHeight="1" outlineLevel="1">
      <c r="A677" s="1"/>
      <c r="B677" s="163"/>
      <c r="C677" s="163"/>
      <c r="D677" s="164"/>
      <c r="E677" s="164">
        <v>574.0</v>
      </c>
      <c r="F677" s="165">
        <f t="shared" si="5"/>
        <v>1671967.159</v>
      </c>
      <c r="G677" s="166">
        <f t="shared" si="2"/>
        <v>961.3811163</v>
      </c>
      <c r="H677" s="167">
        <f t="shared" si="3"/>
        <v>101707.5316</v>
      </c>
      <c r="I677" s="168">
        <f t="shared" si="6"/>
        <v>158440.9875</v>
      </c>
      <c r="J677" s="1"/>
      <c r="K677" s="164"/>
      <c r="L677" s="164">
        <v>574.0</v>
      </c>
      <c r="M677" s="165">
        <f t="shared" si="7"/>
        <v>1570259.627</v>
      </c>
      <c r="N677" s="166">
        <f t="shared" si="8"/>
        <v>912.6626724</v>
      </c>
      <c r="O677" s="169">
        <f t="shared" si="9"/>
        <v>157838.751</v>
      </c>
      <c r="P677" s="171">
        <f t="shared" si="550"/>
        <v>280209.1991</v>
      </c>
      <c r="Q677" s="172"/>
      <c r="R677" s="172"/>
    </row>
    <row r="678" ht="14.25" customHeight="1" outlineLevel="1">
      <c r="A678" s="1"/>
      <c r="B678" s="163"/>
      <c r="C678" s="163"/>
      <c r="D678" s="164"/>
      <c r="E678" s="164">
        <v>575.0</v>
      </c>
      <c r="F678" s="165">
        <f t="shared" si="5"/>
        <v>1680944.817</v>
      </c>
      <c r="G678" s="166">
        <f t="shared" si="2"/>
        <v>966.5432696</v>
      </c>
      <c r="H678" s="167">
        <f t="shared" si="3"/>
        <v>102233.6068</v>
      </c>
      <c r="I678" s="168">
        <f t="shared" si="6"/>
        <v>159407.5308</v>
      </c>
      <c r="J678" s="1"/>
      <c r="K678" s="164"/>
      <c r="L678" s="164">
        <v>575.0</v>
      </c>
      <c r="M678" s="165">
        <f t="shared" si="7"/>
        <v>1578711.21</v>
      </c>
      <c r="N678" s="166">
        <f t="shared" si="8"/>
        <v>917.5223324</v>
      </c>
      <c r="O678" s="169">
        <f t="shared" si="9"/>
        <v>158756.2733</v>
      </c>
      <c r="P678" s="171">
        <f t="shared" si="550"/>
        <v>280697.3684</v>
      </c>
      <c r="Q678" s="172"/>
      <c r="R678" s="172"/>
    </row>
    <row r="679" ht="14.25" customHeight="1" outlineLevel="1">
      <c r="A679" s="1"/>
      <c r="B679" s="163"/>
      <c r="C679" s="163"/>
      <c r="D679" s="164">
        <v>48.0</v>
      </c>
      <c r="E679" s="164">
        <v>576.0</v>
      </c>
      <c r="F679" s="165">
        <f t="shared" si="5"/>
        <v>1689968.044</v>
      </c>
      <c r="G679" s="166">
        <f t="shared" si="2"/>
        <v>971.7316255</v>
      </c>
      <c r="H679" s="167">
        <f t="shared" si="3"/>
        <v>102762.3524</v>
      </c>
      <c r="I679" s="168">
        <f t="shared" si="6"/>
        <v>160379.2624</v>
      </c>
      <c r="J679" s="1"/>
      <c r="K679" s="164">
        <v>48.0</v>
      </c>
      <c r="L679" s="164">
        <v>576.0</v>
      </c>
      <c r="M679" s="165">
        <f t="shared" si="7"/>
        <v>1587205.692</v>
      </c>
      <c r="N679" s="166">
        <f t="shared" si="8"/>
        <v>922.4066596</v>
      </c>
      <c r="O679" s="169">
        <f t="shared" si="9"/>
        <v>159678.6799</v>
      </c>
      <c r="P679" s="171">
        <f t="shared" si="550"/>
        <v>281185.5377</v>
      </c>
      <c r="Q679" s="172"/>
      <c r="R679" s="172"/>
    </row>
    <row r="680" ht="14.25" customHeight="1" outlineLevel="1">
      <c r="A680" s="1"/>
      <c r="B680" s="163"/>
      <c r="C680" s="163"/>
      <c r="D680" s="164"/>
      <c r="E680" s="164">
        <v>577.0</v>
      </c>
      <c r="F680" s="165">
        <f t="shared" si="5"/>
        <v>1699037.073</v>
      </c>
      <c r="G680" s="166">
        <f t="shared" si="2"/>
        <v>976.946317</v>
      </c>
      <c r="H680" s="167">
        <f t="shared" si="3"/>
        <v>103293.7818</v>
      </c>
      <c r="I680" s="168">
        <f t="shared" si="6"/>
        <v>161356.2087</v>
      </c>
      <c r="J680" s="1"/>
      <c r="K680" s="164"/>
      <c r="L680" s="164">
        <v>577.0</v>
      </c>
      <c r="M680" s="165">
        <f t="shared" si="7"/>
        <v>1595743.291</v>
      </c>
      <c r="N680" s="166">
        <f t="shared" si="8"/>
        <v>927.3157792</v>
      </c>
      <c r="O680" s="169">
        <f t="shared" si="9"/>
        <v>160605.9957</v>
      </c>
      <c r="P680" s="171">
        <f t="shared" si="550"/>
        <v>281673.7071</v>
      </c>
      <c r="Q680" s="172"/>
      <c r="R680" s="172"/>
    </row>
    <row r="681" ht="14.25" customHeight="1" outlineLevel="1">
      <c r="A681" s="1"/>
      <c r="B681" s="163"/>
      <c r="C681" s="163"/>
      <c r="D681" s="164"/>
      <c r="E681" s="164">
        <v>578.0</v>
      </c>
      <c r="F681" s="165">
        <f t="shared" si="5"/>
        <v>1708152.135</v>
      </c>
      <c r="G681" s="166">
        <f t="shared" si="2"/>
        <v>982.1874777</v>
      </c>
      <c r="H681" s="167">
        <f t="shared" si="3"/>
        <v>103827.9087</v>
      </c>
      <c r="I681" s="168">
        <f t="shared" si="6"/>
        <v>162338.3962</v>
      </c>
      <c r="J681" s="1"/>
      <c r="K681" s="164"/>
      <c r="L681" s="164">
        <v>578.0</v>
      </c>
      <c r="M681" s="165">
        <f t="shared" si="7"/>
        <v>1604324.226</v>
      </c>
      <c r="N681" s="166">
        <f t="shared" si="8"/>
        <v>932.2498169</v>
      </c>
      <c r="O681" s="169">
        <f t="shared" si="9"/>
        <v>161538.2455</v>
      </c>
      <c r="P681" s="171">
        <f t="shared" si="550"/>
        <v>282161.8764</v>
      </c>
      <c r="Q681" s="172"/>
      <c r="R681" s="172"/>
    </row>
    <row r="682" ht="14.25" customHeight="1" outlineLevel="1">
      <c r="A682" s="1"/>
      <c r="B682" s="163"/>
      <c r="C682" s="163"/>
      <c r="D682" s="164"/>
      <c r="E682" s="164">
        <v>579.0</v>
      </c>
      <c r="F682" s="165">
        <f t="shared" si="5"/>
        <v>1717313.464</v>
      </c>
      <c r="G682" s="166">
        <f t="shared" si="2"/>
        <v>987.4552419</v>
      </c>
      <c r="H682" s="167">
        <f t="shared" si="3"/>
        <v>104364.7468</v>
      </c>
      <c r="I682" s="168">
        <f t="shared" si="6"/>
        <v>163325.8515</v>
      </c>
      <c r="J682" s="1"/>
      <c r="K682" s="164"/>
      <c r="L682" s="164">
        <v>579.0</v>
      </c>
      <c r="M682" s="165">
        <f t="shared" si="7"/>
        <v>1612948.717</v>
      </c>
      <c r="N682" s="166">
        <f t="shared" si="8"/>
        <v>937.2088992</v>
      </c>
      <c r="O682" s="169">
        <f t="shared" si="9"/>
        <v>162475.4544</v>
      </c>
      <c r="P682" s="171">
        <f t="shared" si="550"/>
        <v>282650.0457</v>
      </c>
      <c r="Q682" s="172"/>
      <c r="R682" s="172"/>
    </row>
    <row r="683" ht="14.25" customHeight="1" outlineLevel="1">
      <c r="A683" s="1"/>
      <c r="B683" s="163"/>
      <c r="C683" s="163"/>
      <c r="D683" s="164"/>
      <c r="E683" s="164">
        <v>580.0</v>
      </c>
      <c r="F683" s="165">
        <f t="shared" si="5"/>
        <v>1726521.295</v>
      </c>
      <c r="G683" s="166">
        <f t="shared" si="2"/>
        <v>992.7497448</v>
      </c>
      <c r="H683" s="167">
        <f t="shared" si="3"/>
        <v>104904.3098</v>
      </c>
      <c r="I683" s="168">
        <f t="shared" si="6"/>
        <v>164318.6012</v>
      </c>
      <c r="J683" s="1"/>
      <c r="K683" s="164"/>
      <c r="L683" s="164">
        <v>580.0</v>
      </c>
      <c r="M683" s="165">
        <f t="shared" si="7"/>
        <v>1621616.985</v>
      </c>
      <c r="N683" s="166">
        <f t="shared" si="8"/>
        <v>942.1931533</v>
      </c>
      <c r="O683" s="169">
        <f t="shared" si="9"/>
        <v>163417.6476</v>
      </c>
      <c r="P683" s="171">
        <f t="shared" si="550"/>
        <v>283138.2151</v>
      </c>
      <c r="Q683" s="172"/>
      <c r="R683" s="172"/>
    </row>
    <row r="684" ht="14.25" customHeight="1" outlineLevel="1">
      <c r="A684" s="1"/>
      <c r="B684" s="163"/>
      <c r="C684" s="163"/>
      <c r="D684" s="164"/>
      <c r="E684" s="164">
        <v>581.0</v>
      </c>
      <c r="F684" s="165">
        <f t="shared" si="5"/>
        <v>1735775.864</v>
      </c>
      <c r="G684" s="166">
        <f t="shared" si="2"/>
        <v>998.071122</v>
      </c>
      <c r="H684" s="167">
        <f t="shared" si="3"/>
        <v>105446.6116</v>
      </c>
      <c r="I684" s="168">
        <f t="shared" si="6"/>
        <v>165316.6723</v>
      </c>
      <c r="J684" s="1"/>
      <c r="K684" s="164"/>
      <c r="L684" s="164">
        <v>581.0</v>
      </c>
      <c r="M684" s="165">
        <f t="shared" si="7"/>
        <v>1630329.253</v>
      </c>
      <c r="N684" s="166">
        <f t="shared" si="8"/>
        <v>947.202707</v>
      </c>
      <c r="O684" s="169">
        <f t="shared" si="9"/>
        <v>164364.8503</v>
      </c>
      <c r="P684" s="171">
        <f t="shared" si="550"/>
        <v>283626.3844</v>
      </c>
      <c r="Q684" s="172"/>
      <c r="R684" s="172"/>
    </row>
    <row r="685" ht="14.25" customHeight="1" outlineLevel="1">
      <c r="A685" s="1"/>
      <c r="B685" s="163"/>
      <c r="C685" s="163"/>
      <c r="D685" s="164"/>
      <c r="E685" s="164">
        <v>582.0</v>
      </c>
      <c r="F685" s="165">
        <f t="shared" si="5"/>
        <v>1745077.409</v>
      </c>
      <c r="G685" s="166">
        <f t="shared" si="2"/>
        <v>1003.41951</v>
      </c>
      <c r="H685" s="167">
        <f t="shared" si="3"/>
        <v>105991.666</v>
      </c>
      <c r="I685" s="168">
        <f t="shared" si="6"/>
        <v>166320.0918</v>
      </c>
      <c r="J685" s="1"/>
      <c r="K685" s="164"/>
      <c r="L685" s="164">
        <v>582.0</v>
      </c>
      <c r="M685" s="165">
        <f t="shared" si="7"/>
        <v>1639085.742</v>
      </c>
      <c r="N685" s="166">
        <f t="shared" si="8"/>
        <v>952.2376887</v>
      </c>
      <c r="O685" s="169">
        <f t="shared" si="9"/>
        <v>165317.088</v>
      </c>
      <c r="P685" s="171">
        <f t="shared" si="550"/>
        <v>284114.5538</v>
      </c>
      <c r="Q685" s="172"/>
      <c r="R685" s="172"/>
    </row>
    <row r="686" ht="14.25" customHeight="1" outlineLevel="1">
      <c r="A686" s="1"/>
      <c r="B686" s="163"/>
      <c r="C686" s="163"/>
      <c r="D686" s="164"/>
      <c r="E686" s="164">
        <v>583.0</v>
      </c>
      <c r="F686" s="165">
        <f t="shared" si="5"/>
        <v>1754426.166</v>
      </c>
      <c r="G686" s="166">
        <f t="shared" si="2"/>
        <v>1008.795046</v>
      </c>
      <c r="H686" s="167">
        <f t="shared" si="3"/>
        <v>106539.4871</v>
      </c>
      <c r="I686" s="168">
        <f t="shared" si="6"/>
        <v>167328.8869</v>
      </c>
      <c r="J686" s="1"/>
      <c r="K686" s="164"/>
      <c r="L686" s="164">
        <v>583.0</v>
      </c>
      <c r="M686" s="165">
        <f t="shared" si="7"/>
        <v>1647886.679</v>
      </c>
      <c r="N686" s="166">
        <f t="shared" si="8"/>
        <v>957.2982273</v>
      </c>
      <c r="O686" s="169">
        <f t="shared" si="9"/>
        <v>166274.3862</v>
      </c>
      <c r="P686" s="171">
        <f t="shared" si="550"/>
        <v>284602.7231</v>
      </c>
      <c r="Q686" s="172"/>
      <c r="R686" s="172"/>
    </row>
    <row r="687" ht="14.25" customHeight="1" outlineLevel="1">
      <c r="A687" s="1"/>
      <c r="B687" s="163"/>
      <c r="C687" s="163"/>
      <c r="D687" s="164"/>
      <c r="E687" s="164">
        <v>584.0</v>
      </c>
      <c r="F687" s="165">
        <f t="shared" si="5"/>
        <v>1763822.378</v>
      </c>
      <c r="G687" s="166">
        <f t="shared" si="2"/>
        <v>1014.197867</v>
      </c>
      <c r="H687" s="167">
        <f t="shared" si="3"/>
        <v>107090.0889</v>
      </c>
      <c r="I687" s="168">
        <f t="shared" si="6"/>
        <v>168343.0847</v>
      </c>
      <c r="J687" s="1"/>
      <c r="K687" s="164"/>
      <c r="L687" s="164">
        <v>584.0</v>
      </c>
      <c r="M687" s="165">
        <f t="shared" si="7"/>
        <v>1656732.289</v>
      </c>
      <c r="N687" s="166">
        <f t="shared" si="8"/>
        <v>962.3844528</v>
      </c>
      <c r="O687" s="169">
        <f t="shared" si="9"/>
        <v>167236.7707</v>
      </c>
      <c r="P687" s="171">
        <f t="shared" si="550"/>
        <v>285090.8924</v>
      </c>
      <c r="Q687" s="172"/>
      <c r="R687" s="172"/>
    </row>
    <row r="688" ht="14.25" customHeight="1" outlineLevel="1">
      <c r="A688" s="1"/>
      <c r="B688" s="163"/>
      <c r="C688" s="163"/>
      <c r="D688" s="164"/>
      <c r="E688" s="164">
        <v>585.0</v>
      </c>
      <c r="F688" s="165">
        <f t="shared" si="5"/>
        <v>1773266.283</v>
      </c>
      <c r="G688" s="166">
        <f t="shared" si="2"/>
        <v>1019.628113</v>
      </c>
      <c r="H688" s="167">
        <f t="shared" si="3"/>
        <v>107643.4854</v>
      </c>
      <c r="I688" s="168">
        <f t="shared" si="6"/>
        <v>169362.7129</v>
      </c>
      <c r="J688" s="1"/>
      <c r="K688" s="164"/>
      <c r="L688" s="164">
        <v>585.0</v>
      </c>
      <c r="M688" s="165">
        <f t="shared" si="7"/>
        <v>1665622.798</v>
      </c>
      <c r="N688" s="166">
        <f t="shared" si="8"/>
        <v>967.4964954</v>
      </c>
      <c r="O688" s="169">
        <f t="shared" si="9"/>
        <v>168204.2672</v>
      </c>
      <c r="P688" s="171">
        <f t="shared" si="550"/>
        <v>285579.0618</v>
      </c>
      <c r="Q688" s="172"/>
      <c r="R688" s="172"/>
    </row>
    <row r="689" ht="14.25" customHeight="1" outlineLevel="1">
      <c r="A689" s="1"/>
      <c r="B689" s="163"/>
      <c r="C689" s="163"/>
      <c r="D689" s="164"/>
      <c r="E689" s="164">
        <v>586.0</v>
      </c>
      <c r="F689" s="165">
        <f t="shared" si="5"/>
        <v>1782758.125</v>
      </c>
      <c r="G689" s="166">
        <f t="shared" si="2"/>
        <v>1025.085922</v>
      </c>
      <c r="H689" s="167">
        <f t="shared" si="3"/>
        <v>108199.691</v>
      </c>
      <c r="I689" s="168">
        <f t="shared" si="6"/>
        <v>170387.7988</v>
      </c>
      <c r="J689" s="1"/>
      <c r="K689" s="164"/>
      <c r="L689" s="164">
        <v>586.0</v>
      </c>
      <c r="M689" s="165">
        <f t="shared" si="7"/>
        <v>1674558.434</v>
      </c>
      <c r="N689" s="166">
        <f t="shared" si="8"/>
        <v>972.6344861</v>
      </c>
      <c r="O689" s="169">
        <f t="shared" si="9"/>
        <v>169176.9017</v>
      </c>
      <c r="P689" s="171">
        <f t="shared" si="550"/>
        <v>286067.2311</v>
      </c>
      <c r="Q689" s="172"/>
      <c r="R689" s="172"/>
    </row>
    <row r="690" ht="14.25" customHeight="1" outlineLevel="1">
      <c r="A690" s="1"/>
      <c r="B690" s="163"/>
      <c r="C690" s="163"/>
      <c r="D690" s="164"/>
      <c r="E690" s="164">
        <v>587.0</v>
      </c>
      <c r="F690" s="165">
        <f t="shared" si="5"/>
        <v>1792298.146</v>
      </c>
      <c r="G690" s="166">
        <f t="shared" si="2"/>
        <v>1030.571434</v>
      </c>
      <c r="H690" s="167">
        <f t="shared" si="3"/>
        <v>108758.7198</v>
      </c>
      <c r="I690" s="168">
        <f t="shared" si="6"/>
        <v>171418.3702</v>
      </c>
      <c r="J690" s="1"/>
      <c r="K690" s="164"/>
      <c r="L690" s="164">
        <v>587.0</v>
      </c>
      <c r="M690" s="165">
        <f t="shared" si="7"/>
        <v>1683539.426</v>
      </c>
      <c r="N690" s="166">
        <f t="shared" si="8"/>
        <v>977.7985568</v>
      </c>
      <c r="O690" s="169">
        <f t="shared" si="9"/>
        <v>170154.7002</v>
      </c>
      <c r="P690" s="171">
        <f t="shared" si="550"/>
        <v>286555.4004</v>
      </c>
      <c r="Q690" s="172"/>
      <c r="R690" s="172"/>
    </row>
    <row r="691" ht="14.25" customHeight="1" outlineLevel="1">
      <c r="A691" s="1"/>
      <c r="B691" s="163"/>
      <c r="C691" s="163"/>
      <c r="D691" s="164">
        <v>49.0</v>
      </c>
      <c r="E691" s="164">
        <v>588.0</v>
      </c>
      <c r="F691" s="165">
        <f t="shared" si="5"/>
        <v>1801886.591</v>
      </c>
      <c r="G691" s="166">
        <f t="shared" si="2"/>
        <v>1036.08479</v>
      </c>
      <c r="H691" s="167">
        <f t="shared" si="3"/>
        <v>109320.5861</v>
      </c>
      <c r="I691" s="168">
        <f t="shared" si="6"/>
        <v>172454.455</v>
      </c>
      <c r="J691" s="1"/>
      <c r="K691" s="164">
        <v>49.0</v>
      </c>
      <c r="L691" s="164">
        <v>588.0</v>
      </c>
      <c r="M691" s="165">
        <f t="shared" si="7"/>
        <v>1692566.005</v>
      </c>
      <c r="N691" s="166">
        <f t="shared" si="8"/>
        <v>982.9888397</v>
      </c>
      <c r="O691" s="169">
        <f t="shared" si="9"/>
        <v>171137.6891</v>
      </c>
      <c r="P691" s="171">
        <f t="shared" si="550"/>
        <v>287043.5698</v>
      </c>
      <c r="Q691" s="172"/>
      <c r="R691" s="172"/>
    </row>
    <row r="692" ht="14.25" customHeight="1" outlineLevel="1">
      <c r="A692" s="1"/>
      <c r="B692" s="163"/>
      <c r="C692" s="163"/>
      <c r="D692" s="164"/>
      <c r="E692" s="164">
        <v>589.0</v>
      </c>
      <c r="F692" s="165">
        <f t="shared" si="5"/>
        <v>1811523.707</v>
      </c>
      <c r="G692" s="166">
        <f t="shared" si="2"/>
        <v>1041.626131</v>
      </c>
      <c r="H692" s="167">
        <f t="shared" si="3"/>
        <v>109885.3044</v>
      </c>
      <c r="I692" s="168">
        <f t="shared" si="6"/>
        <v>173496.0811</v>
      </c>
      <c r="J692" s="1"/>
      <c r="K692" s="164"/>
      <c r="L692" s="164">
        <v>589.0</v>
      </c>
      <c r="M692" s="165">
        <f t="shared" si="7"/>
        <v>1701638.402</v>
      </c>
      <c r="N692" s="166">
        <f t="shared" si="8"/>
        <v>988.205468</v>
      </c>
      <c r="O692" s="169">
        <f t="shared" si="9"/>
        <v>172125.8945</v>
      </c>
      <c r="P692" s="171">
        <f t="shared" si="550"/>
        <v>287531.7391</v>
      </c>
      <c r="Q692" s="172"/>
      <c r="R692" s="172"/>
    </row>
    <row r="693" ht="14.25" customHeight="1" outlineLevel="1">
      <c r="A693" s="1"/>
      <c r="B693" s="163"/>
      <c r="C693" s="163"/>
      <c r="D693" s="164"/>
      <c r="E693" s="164">
        <v>590.0</v>
      </c>
      <c r="F693" s="165">
        <f t="shared" si="5"/>
        <v>1821209.739</v>
      </c>
      <c r="G693" s="166">
        <f t="shared" si="2"/>
        <v>1047.1956</v>
      </c>
      <c r="H693" s="167">
        <f t="shared" si="3"/>
        <v>110452.8892</v>
      </c>
      <c r="I693" s="168">
        <f t="shared" si="6"/>
        <v>174543.2767</v>
      </c>
      <c r="J693" s="1"/>
      <c r="K693" s="164"/>
      <c r="L693" s="164">
        <v>590.0</v>
      </c>
      <c r="M693" s="165">
        <f t="shared" si="7"/>
        <v>1710756.85</v>
      </c>
      <c r="N693" s="166">
        <f t="shared" si="8"/>
        <v>993.4485753</v>
      </c>
      <c r="O693" s="169">
        <f t="shared" si="9"/>
        <v>173119.3431</v>
      </c>
      <c r="P693" s="171">
        <f t="shared" si="550"/>
        <v>288019.9084</v>
      </c>
      <c r="Q693" s="172"/>
      <c r="R693" s="172"/>
    </row>
    <row r="694" ht="14.25" customHeight="1" outlineLevel="1">
      <c r="A694" s="1"/>
      <c r="B694" s="163"/>
      <c r="C694" s="163"/>
      <c r="D694" s="164"/>
      <c r="E694" s="164">
        <v>591.0</v>
      </c>
      <c r="F694" s="165">
        <f t="shared" si="5"/>
        <v>1830944.936</v>
      </c>
      <c r="G694" s="166">
        <f t="shared" si="2"/>
        <v>1052.793338</v>
      </c>
      <c r="H694" s="167">
        <f t="shared" si="3"/>
        <v>111023.355</v>
      </c>
      <c r="I694" s="168">
        <f t="shared" si="6"/>
        <v>175596.0701</v>
      </c>
      <c r="J694" s="1"/>
      <c r="K694" s="164"/>
      <c r="L694" s="164">
        <v>591.0</v>
      </c>
      <c r="M694" s="165">
        <f t="shared" si="7"/>
        <v>1719921.581</v>
      </c>
      <c r="N694" s="166">
        <f t="shared" si="8"/>
        <v>998.7182961</v>
      </c>
      <c r="O694" s="169">
        <f t="shared" si="9"/>
        <v>174118.0614</v>
      </c>
      <c r="P694" s="171">
        <f t="shared" si="550"/>
        <v>288508.0778</v>
      </c>
      <c r="Q694" s="172"/>
      <c r="R694" s="172"/>
    </row>
    <row r="695" ht="14.25" customHeight="1" outlineLevel="1">
      <c r="A695" s="1"/>
      <c r="B695" s="163"/>
      <c r="C695" s="163"/>
      <c r="D695" s="164"/>
      <c r="E695" s="164">
        <v>592.0</v>
      </c>
      <c r="F695" s="165">
        <f t="shared" si="5"/>
        <v>1840729.549</v>
      </c>
      <c r="G695" s="166">
        <f t="shared" si="2"/>
        <v>1058.419491</v>
      </c>
      <c r="H695" s="167">
        <f t="shared" si="3"/>
        <v>111596.7164</v>
      </c>
      <c r="I695" s="168">
        <f t="shared" si="6"/>
        <v>176654.4896</v>
      </c>
      <c r="J695" s="1"/>
      <c r="K695" s="164"/>
      <c r="L695" s="164">
        <v>592.0</v>
      </c>
      <c r="M695" s="165">
        <f t="shared" si="7"/>
        <v>1729132.832</v>
      </c>
      <c r="N695" s="166">
        <f t="shared" si="8"/>
        <v>1004.014765</v>
      </c>
      <c r="O695" s="169">
        <f t="shared" si="9"/>
        <v>175122.0762</v>
      </c>
      <c r="P695" s="171">
        <f t="shared" si="550"/>
        <v>288996.2471</v>
      </c>
      <c r="Q695" s="172"/>
      <c r="R695" s="172"/>
    </row>
    <row r="696" ht="14.25" customHeight="1" outlineLevel="1">
      <c r="A696" s="1"/>
      <c r="B696" s="163"/>
      <c r="C696" s="163"/>
      <c r="D696" s="164"/>
      <c r="E696" s="164">
        <v>593.0</v>
      </c>
      <c r="F696" s="165">
        <f t="shared" si="5"/>
        <v>1850563.827</v>
      </c>
      <c r="G696" s="166">
        <f t="shared" si="2"/>
        <v>1064.0742</v>
      </c>
      <c r="H696" s="167">
        <f t="shared" si="3"/>
        <v>112172.9881</v>
      </c>
      <c r="I696" s="168">
        <f t="shared" si="6"/>
        <v>177718.5638</v>
      </c>
      <c r="J696" s="1"/>
      <c r="K696" s="164"/>
      <c r="L696" s="164">
        <v>593.0</v>
      </c>
      <c r="M696" s="165">
        <f t="shared" si="7"/>
        <v>1738390.839</v>
      </c>
      <c r="N696" s="166">
        <f t="shared" si="8"/>
        <v>1009.338119</v>
      </c>
      <c r="O696" s="169">
        <f t="shared" si="9"/>
        <v>176131.4143</v>
      </c>
      <c r="P696" s="171">
        <f t="shared" si="550"/>
        <v>289484.4165</v>
      </c>
      <c r="Q696" s="172"/>
      <c r="R696" s="172"/>
    </row>
    <row r="697" ht="14.25" customHeight="1" outlineLevel="1">
      <c r="A697" s="1"/>
      <c r="B697" s="163"/>
      <c r="C697" s="163"/>
      <c r="D697" s="164"/>
      <c r="E697" s="164">
        <v>594.0</v>
      </c>
      <c r="F697" s="165">
        <f t="shared" si="5"/>
        <v>1860448.023</v>
      </c>
      <c r="G697" s="166">
        <f t="shared" si="2"/>
        <v>1069.757613</v>
      </c>
      <c r="H697" s="167">
        <f t="shared" si="3"/>
        <v>112752.1849</v>
      </c>
      <c r="I697" s="168">
        <f t="shared" si="6"/>
        <v>178788.3214</v>
      </c>
      <c r="J697" s="1"/>
      <c r="K697" s="164"/>
      <c r="L697" s="164">
        <v>594.0</v>
      </c>
      <c r="M697" s="165">
        <f t="shared" si="7"/>
        <v>1747695.838</v>
      </c>
      <c r="N697" s="166">
        <f t="shared" si="8"/>
        <v>1014.688493</v>
      </c>
      <c r="O697" s="169">
        <f t="shared" si="9"/>
        <v>177146.1028</v>
      </c>
      <c r="P697" s="171">
        <f t="shared" si="550"/>
        <v>289972.5858</v>
      </c>
      <c r="Q697" s="172"/>
      <c r="R697" s="172"/>
    </row>
    <row r="698" ht="14.25" customHeight="1" outlineLevel="1">
      <c r="A698" s="1"/>
      <c r="B698" s="163"/>
      <c r="C698" s="163"/>
      <c r="D698" s="164"/>
      <c r="E698" s="164">
        <v>595.0</v>
      </c>
      <c r="F698" s="165">
        <f t="shared" si="5"/>
        <v>1870382.39</v>
      </c>
      <c r="G698" s="166">
        <f t="shared" si="2"/>
        <v>1075.469874</v>
      </c>
      <c r="H698" s="167">
        <f t="shared" si="3"/>
        <v>113334.3217</v>
      </c>
      <c r="I698" s="168">
        <f t="shared" si="6"/>
        <v>179863.7913</v>
      </c>
      <c r="J698" s="1"/>
      <c r="K698" s="164"/>
      <c r="L698" s="164">
        <v>595.0</v>
      </c>
      <c r="M698" s="165">
        <f t="shared" si="7"/>
        <v>1757048.068</v>
      </c>
      <c r="N698" s="166">
        <f t="shared" si="8"/>
        <v>1020.066026</v>
      </c>
      <c r="O698" s="169">
        <f t="shared" si="9"/>
        <v>178166.1688</v>
      </c>
      <c r="P698" s="171">
        <f t="shared" si="550"/>
        <v>290460.7551</v>
      </c>
      <c r="Q698" s="172"/>
      <c r="R698" s="172"/>
    </row>
    <row r="699" ht="14.25" customHeight="1" outlineLevel="1">
      <c r="A699" s="1"/>
      <c r="B699" s="163"/>
      <c r="C699" s="163"/>
      <c r="D699" s="164"/>
      <c r="E699" s="164">
        <v>596.0</v>
      </c>
      <c r="F699" s="165">
        <f t="shared" si="5"/>
        <v>1880367.182</v>
      </c>
      <c r="G699" s="166">
        <f t="shared" si="2"/>
        <v>1081.21113</v>
      </c>
      <c r="H699" s="167">
        <f t="shared" si="3"/>
        <v>113919.4133</v>
      </c>
      <c r="I699" s="168">
        <f t="shared" si="6"/>
        <v>180945.0024</v>
      </c>
      <c r="J699" s="1"/>
      <c r="K699" s="164"/>
      <c r="L699" s="164">
        <v>596.0</v>
      </c>
      <c r="M699" s="165">
        <f t="shared" si="7"/>
        <v>1766447.769</v>
      </c>
      <c r="N699" s="166">
        <f t="shared" si="8"/>
        <v>1025.470854</v>
      </c>
      <c r="O699" s="169">
        <f t="shared" si="9"/>
        <v>179191.6396</v>
      </c>
      <c r="P699" s="171">
        <f t="shared" si="550"/>
        <v>290948.9245</v>
      </c>
      <c r="Q699" s="172"/>
      <c r="R699" s="172"/>
    </row>
    <row r="700" ht="14.25" customHeight="1" outlineLevel="1">
      <c r="A700" s="1"/>
      <c r="B700" s="163"/>
      <c r="C700" s="163"/>
      <c r="D700" s="164"/>
      <c r="E700" s="164">
        <v>597.0</v>
      </c>
      <c r="F700" s="165">
        <f t="shared" si="5"/>
        <v>1890402.657</v>
      </c>
      <c r="G700" s="166">
        <f t="shared" si="2"/>
        <v>1086.981528</v>
      </c>
      <c r="H700" s="167">
        <f t="shared" si="3"/>
        <v>114507.4748</v>
      </c>
      <c r="I700" s="168">
        <f t="shared" si="6"/>
        <v>182031.9839</v>
      </c>
      <c r="J700" s="1"/>
      <c r="K700" s="164"/>
      <c r="L700" s="164">
        <v>597.0</v>
      </c>
      <c r="M700" s="165">
        <f t="shared" si="7"/>
        <v>1775895.182</v>
      </c>
      <c r="N700" s="166">
        <f t="shared" si="8"/>
        <v>1030.903116</v>
      </c>
      <c r="O700" s="169">
        <f t="shared" si="9"/>
        <v>180222.5428</v>
      </c>
      <c r="P700" s="171">
        <f t="shared" si="550"/>
        <v>291437.0938</v>
      </c>
      <c r="Q700" s="172"/>
      <c r="R700" s="172"/>
    </row>
    <row r="701" ht="14.25" customHeight="1" outlineLevel="1">
      <c r="A701" s="1"/>
      <c r="B701" s="163"/>
      <c r="C701" s="163"/>
      <c r="D701" s="164"/>
      <c r="E701" s="164">
        <v>598.0</v>
      </c>
      <c r="F701" s="165">
        <f t="shared" si="5"/>
        <v>1900489.07</v>
      </c>
      <c r="G701" s="166">
        <f t="shared" si="2"/>
        <v>1092.781215</v>
      </c>
      <c r="H701" s="167">
        <f t="shared" si="3"/>
        <v>115098.5212</v>
      </c>
      <c r="I701" s="168">
        <f t="shared" si="6"/>
        <v>183124.7651</v>
      </c>
      <c r="J701" s="1"/>
      <c r="K701" s="164"/>
      <c r="L701" s="164">
        <v>598.0</v>
      </c>
      <c r="M701" s="165">
        <f t="shared" si="7"/>
        <v>1785390.549</v>
      </c>
      <c r="N701" s="166">
        <f t="shared" si="8"/>
        <v>1036.362953</v>
      </c>
      <c r="O701" s="169">
        <f t="shared" si="9"/>
        <v>181258.9057</v>
      </c>
      <c r="P701" s="171">
        <f t="shared" si="550"/>
        <v>291925.2631</v>
      </c>
      <c r="Q701" s="172"/>
      <c r="R701" s="172"/>
    </row>
    <row r="702" ht="14.25" customHeight="1" outlineLevel="1">
      <c r="A702" s="1"/>
      <c r="B702" s="163"/>
      <c r="C702" s="163"/>
      <c r="D702" s="164"/>
      <c r="E702" s="164">
        <v>599.0</v>
      </c>
      <c r="F702" s="165">
        <f t="shared" si="5"/>
        <v>1910626.681</v>
      </c>
      <c r="G702" s="166">
        <f t="shared" si="2"/>
        <v>1098.610342</v>
      </c>
      <c r="H702" s="167">
        <f t="shared" si="3"/>
        <v>115692.5677</v>
      </c>
      <c r="I702" s="168">
        <f t="shared" si="6"/>
        <v>184223.3755</v>
      </c>
      <c r="J702" s="1"/>
      <c r="K702" s="164"/>
      <c r="L702" s="164">
        <v>599.0</v>
      </c>
      <c r="M702" s="165">
        <f t="shared" si="7"/>
        <v>1794934.114</v>
      </c>
      <c r="N702" s="166">
        <f t="shared" si="8"/>
        <v>1041.850502</v>
      </c>
      <c r="O702" s="169">
        <f t="shared" si="9"/>
        <v>182300.7562</v>
      </c>
      <c r="P702" s="171">
        <f t="shared" si="550"/>
        <v>292413.4325</v>
      </c>
      <c r="Q702" s="172"/>
      <c r="R702" s="172"/>
    </row>
    <row r="703" ht="14.25" customHeight="1" outlineLevel="1">
      <c r="A703" s="1"/>
      <c r="B703" s="163"/>
      <c r="C703" s="163"/>
      <c r="D703" s="164">
        <v>50.0</v>
      </c>
      <c r="E703" s="164">
        <v>600.0</v>
      </c>
      <c r="F703" s="165">
        <f t="shared" si="5"/>
        <v>1920815.75</v>
      </c>
      <c r="G703" s="166">
        <f t="shared" si="2"/>
        <v>1104.469056</v>
      </c>
      <c r="H703" s="167">
        <f t="shared" si="3"/>
        <v>116289.6296</v>
      </c>
      <c r="I703" s="168">
        <f t="shared" si="6"/>
        <v>185327.8445</v>
      </c>
      <c r="J703" s="1"/>
      <c r="K703" s="164">
        <v>50.0</v>
      </c>
      <c r="L703" s="164">
        <v>600.0</v>
      </c>
      <c r="M703" s="165">
        <f t="shared" si="7"/>
        <v>1804526.12</v>
      </c>
      <c r="N703" s="166">
        <f t="shared" si="8"/>
        <v>1047.365906</v>
      </c>
      <c r="O703" s="169">
        <f t="shared" si="9"/>
        <v>183348.1221</v>
      </c>
      <c r="P703" s="171">
        <f t="shared" si="550"/>
        <v>292901.6018</v>
      </c>
      <c r="Q703" s="172"/>
      <c r="R703" s="172"/>
    </row>
    <row r="704" ht="14.25" customHeight="1" outlineLevel="1">
      <c r="A704" s="1"/>
      <c r="B704" s="163"/>
      <c r="C704" s="163"/>
      <c r="D704" s="164"/>
      <c r="E704" s="164">
        <v>601.0</v>
      </c>
      <c r="F704" s="165">
        <f t="shared" si="5"/>
        <v>1931056.537</v>
      </c>
      <c r="G704" s="166">
        <f t="shared" si="2"/>
        <v>1110.357509</v>
      </c>
      <c r="H704" s="167">
        <f t="shared" si="3"/>
        <v>116889.722</v>
      </c>
      <c r="I704" s="168">
        <f t="shared" si="6"/>
        <v>186438.202</v>
      </c>
      <c r="J704" s="1"/>
      <c r="K704" s="164"/>
      <c r="L704" s="164">
        <v>601.0</v>
      </c>
      <c r="M704" s="165">
        <f t="shared" si="7"/>
        <v>1814166.815</v>
      </c>
      <c r="N704" s="166">
        <f t="shared" si="8"/>
        <v>1052.909305</v>
      </c>
      <c r="O704" s="169">
        <f t="shared" si="9"/>
        <v>184401.0314</v>
      </c>
      <c r="P704" s="171">
        <f t="shared" si="550"/>
        <v>293389.7711</v>
      </c>
      <c r="Q704" s="172"/>
      <c r="R704" s="172"/>
    </row>
    <row r="705" ht="14.25" customHeight="1" outlineLevel="1">
      <c r="A705" s="1"/>
      <c r="B705" s="163"/>
      <c r="C705" s="163"/>
      <c r="D705" s="164"/>
      <c r="E705" s="164">
        <v>602.0</v>
      </c>
      <c r="F705" s="165">
        <f t="shared" si="5"/>
        <v>1941349.305</v>
      </c>
      <c r="G705" s="166">
        <f t="shared" si="2"/>
        <v>1116.275851</v>
      </c>
      <c r="H705" s="167">
        <f t="shared" si="3"/>
        <v>117492.8605</v>
      </c>
      <c r="I705" s="168">
        <f t="shared" si="6"/>
        <v>187554.4779</v>
      </c>
      <c r="J705" s="1"/>
      <c r="K705" s="164"/>
      <c r="L705" s="164">
        <v>602.0</v>
      </c>
      <c r="M705" s="165">
        <f t="shared" si="7"/>
        <v>1823856.445</v>
      </c>
      <c r="N705" s="166">
        <f t="shared" si="8"/>
        <v>1058.480843</v>
      </c>
      <c r="O705" s="169">
        <f t="shared" si="9"/>
        <v>185459.5123</v>
      </c>
      <c r="P705" s="171">
        <f t="shared" si="550"/>
        <v>293877.9405</v>
      </c>
      <c r="Q705" s="172"/>
      <c r="R705" s="172"/>
    </row>
    <row r="706" ht="14.25" customHeight="1" outlineLevel="1">
      <c r="A706" s="1"/>
      <c r="B706" s="163"/>
      <c r="C706" s="163"/>
      <c r="D706" s="164"/>
      <c r="E706" s="164">
        <v>603.0</v>
      </c>
      <c r="F706" s="165">
        <f t="shared" si="5"/>
        <v>1951694.319</v>
      </c>
      <c r="G706" s="166">
        <f t="shared" si="2"/>
        <v>1122.224233</v>
      </c>
      <c r="H706" s="167">
        <f t="shared" si="3"/>
        <v>118099.0604</v>
      </c>
      <c r="I706" s="168">
        <f t="shared" si="6"/>
        <v>188676.7021</v>
      </c>
      <c r="J706" s="1"/>
      <c r="K706" s="164"/>
      <c r="L706" s="164">
        <v>603.0</v>
      </c>
      <c r="M706" s="165">
        <f t="shared" si="7"/>
        <v>1833595.258</v>
      </c>
      <c r="N706" s="166">
        <f t="shared" si="8"/>
        <v>1064.08066</v>
      </c>
      <c r="O706" s="169">
        <f t="shared" si="9"/>
        <v>186523.5929</v>
      </c>
      <c r="P706" s="171">
        <f t="shared" si="550"/>
        <v>294366.1098</v>
      </c>
      <c r="Q706" s="172"/>
      <c r="R706" s="172"/>
    </row>
    <row r="707" ht="14.25" customHeight="1" outlineLevel="1">
      <c r="A707" s="1"/>
      <c r="B707" s="163"/>
      <c r="C707" s="163"/>
      <c r="D707" s="164"/>
      <c r="E707" s="164">
        <v>604.0</v>
      </c>
      <c r="F707" s="165">
        <f t="shared" si="5"/>
        <v>1962091.842</v>
      </c>
      <c r="G707" s="166">
        <f t="shared" si="2"/>
        <v>1128.202809</v>
      </c>
      <c r="H707" s="167">
        <f t="shared" si="3"/>
        <v>118708.3373</v>
      </c>
      <c r="I707" s="168">
        <f t="shared" si="6"/>
        <v>189804.9049</v>
      </c>
      <c r="J707" s="1"/>
      <c r="K707" s="164"/>
      <c r="L707" s="164">
        <v>604.0</v>
      </c>
      <c r="M707" s="165">
        <f t="shared" si="7"/>
        <v>1843383.505</v>
      </c>
      <c r="N707" s="166">
        <f t="shared" si="8"/>
        <v>1069.708902</v>
      </c>
      <c r="O707" s="169">
        <f t="shared" si="9"/>
        <v>187593.3018</v>
      </c>
      <c r="P707" s="171">
        <f t="shared" si="550"/>
        <v>294854.2792</v>
      </c>
      <c r="Q707" s="172"/>
      <c r="R707" s="172"/>
    </row>
    <row r="708" ht="14.25" customHeight="1" outlineLevel="1">
      <c r="A708" s="1"/>
      <c r="B708" s="163"/>
      <c r="C708" s="163"/>
      <c r="D708" s="164"/>
      <c r="E708" s="164">
        <v>605.0</v>
      </c>
      <c r="F708" s="165">
        <f t="shared" si="5"/>
        <v>1972542.142</v>
      </c>
      <c r="G708" s="166">
        <f t="shared" si="2"/>
        <v>1134.211732</v>
      </c>
      <c r="H708" s="167">
        <f t="shared" si="3"/>
        <v>119320.7069</v>
      </c>
      <c r="I708" s="168">
        <f t="shared" si="6"/>
        <v>190939.1167</v>
      </c>
      <c r="J708" s="1"/>
      <c r="K708" s="164"/>
      <c r="L708" s="164">
        <v>605.0</v>
      </c>
      <c r="M708" s="165">
        <f t="shared" si="7"/>
        <v>1853221.436</v>
      </c>
      <c r="N708" s="166">
        <f t="shared" si="8"/>
        <v>1075.365712</v>
      </c>
      <c r="O708" s="169">
        <f t="shared" si="9"/>
        <v>188668.6675</v>
      </c>
      <c r="P708" s="171">
        <f t="shared" si="550"/>
        <v>295342.4485</v>
      </c>
      <c r="Q708" s="172"/>
      <c r="R708" s="172"/>
    </row>
    <row r="709" ht="14.25" customHeight="1" outlineLevel="1">
      <c r="A709" s="1"/>
      <c r="B709" s="163"/>
      <c r="C709" s="163"/>
      <c r="D709" s="164"/>
      <c r="E709" s="164">
        <v>606.0</v>
      </c>
      <c r="F709" s="165">
        <f t="shared" si="5"/>
        <v>1983045.487</v>
      </c>
      <c r="G709" s="166">
        <f t="shared" si="2"/>
        <v>1140.251155</v>
      </c>
      <c r="H709" s="167">
        <f t="shared" si="3"/>
        <v>119936.1848</v>
      </c>
      <c r="I709" s="168">
        <f t="shared" si="6"/>
        <v>192079.3678</v>
      </c>
      <c r="J709" s="1"/>
      <c r="K709" s="164"/>
      <c r="L709" s="164">
        <v>606.0</v>
      </c>
      <c r="M709" s="165">
        <f t="shared" si="7"/>
        <v>1863109.303</v>
      </c>
      <c r="N709" s="166">
        <f t="shared" si="8"/>
        <v>1081.051236</v>
      </c>
      <c r="O709" s="169">
        <f t="shared" si="9"/>
        <v>189749.7188</v>
      </c>
      <c r="P709" s="171">
        <f t="shared" si="550"/>
        <v>295830.6178</v>
      </c>
      <c r="Q709" s="172"/>
      <c r="R709" s="172"/>
    </row>
    <row r="710" ht="14.25" customHeight="1" outlineLevel="1">
      <c r="A710" s="1"/>
      <c r="B710" s="163"/>
      <c r="C710" s="163"/>
      <c r="D710" s="164"/>
      <c r="E710" s="164">
        <v>607.0</v>
      </c>
      <c r="F710" s="165">
        <f t="shared" si="5"/>
        <v>1993602.146</v>
      </c>
      <c r="G710" s="166">
        <f t="shared" si="2"/>
        <v>1146.321234</v>
      </c>
      <c r="H710" s="167">
        <f t="shared" si="3"/>
        <v>120554.7867</v>
      </c>
      <c r="I710" s="168">
        <f t="shared" si="6"/>
        <v>193225.6891</v>
      </c>
      <c r="J710" s="1"/>
      <c r="K710" s="164"/>
      <c r="L710" s="164">
        <v>607.0</v>
      </c>
      <c r="M710" s="165">
        <f t="shared" si="7"/>
        <v>1873047.359</v>
      </c>
      <c r="N710" s="166">
        <f t="shared" si="8"/>
        <v>1086.765618</v>
      </c>
      <c r="O710" s="169">
        <f t="shared" si="9"/>
        <v>190836.4844</v>
      </c>
      <c r="P710" s="171">
        <f t="shared" si="550"/>
        <v>296318.7872</v>
      </c>
      <c r="Q710" s="172"/>
      <c r="R710" s="172"/>
    </row>
    <row r="711" ht="14.25" customHeight="1" outlineLevel="1">
      <c r="A711" s="1"/>
      <c r="B711" s="163"/>
      <c r="C711" s="163"/>
      <c r="D711" s="164"/>
      <c r="E711" s="164">
        <v>608.0</v>
      </c>
      <c r="F711" s="165">
        <f t="shared" si="5"/>
        <v>2004212.389</v>
      </c>
      <c r="G711" s="166">
        <f t="shared" si="2"/>
        <v>1152.422124</v>
      </c>
      <c r="H711" s="167">
        <f t="shared" si="3"/>
        <v>121176.5287</v>
      </c>
      <c r="I711" s="168">
        <f t="shared" si="6"/>
        <v>194378.1112</v>
      </c>
      <c r="J711" s="1"/>
      <c r="K711" s="164"/>
      <c r="L711" s="164">
        <v>608.0</v>
      </c>
      <c r="M711" s="165">
        <f t="shared" si="7"/>
        <v>1883035.861</v>
      </c>
      <c r="N711" s="166">
        <f t="shared" si="8"/>
        <v>1092.509007</v>
      </c>
      <c r="O711" s="169">
        <f t="shared" si="9"/>
        <v>191928.9934</v>
      </c>
      <c r="P711" s="171">
        <f t="shared" si="550"/>
        <v>296806.9565</v>
      </c>
      <c r="Q711" s="172"/>
      <c r="R711" s="172"/>
    </row>
    <row r="712" ht="14.25" customHeight="1" outlineLevel="1">
      <c r="A712" s="1"/>
      <c r="B712" s="163"/>
      <c r="C712" s="163"/>
      <c r="D712" s="164"/>
      <c r="E712" s="164">
        <v>609.0</v>
      </c>
      <c r="F712" s="165">
        <f t="shared" si="5"/>
        <v>2014876.489</v>
      </c>
      <c r="G712" s="166">
        <f t="shared" si="2"/>
        <v>1158.553981</v>
      </c>
      <c r="H712" s="167">
        <f t="shared" si="3"/>
        <v>121801.4265</v>
      </c>
      <c r="I712" s="168">
        <f t="shared" si="6"/>
        <v>195536.6652</v>
      </c>
      <c r="J712" s="1"/>
      <c r="K712" s="164"/>
      <c r="L712" s="164">
        <v>609.0</v>
      </c>
      <c r="M712" s="165">
        <f t="shared" si="7"/>
        <v>1893075.062</v>
      </c>
      <c r="N712" s="166">
        <f t="shared" si="8"/>
        <v>1098.281548</v>
      </c>
      <c r="O712" s="169">
        <f t="shared" si="9"/>
        <v>193027.275</v>
      </c>
      <c r="P712" s="171">
        <f t="shared" si="550"/>
        <v>297295.1258</v>
      </c>
      <c r="Q712" s="172"/>
      <c r="R712" s="172"/>
    </row>
    <row r="713" ht="14.25" customHeight="1" outlineLevel="1">
      <c r="A713" s="1"/>
      <c r="B713" s="163"/>
      <c r="C713" s="163"/>
      <c r="D713" s="164"/>
      <c r="E713" s="164">
        <v>610.0</v>
      </c>
      <c r="F713" s="165">
        <f t="shared" si="5"/>
        <v>2025594.718</v>
      </c>
      <c r="G713" s="166">
        <f t="shared" si="2"/>
        <v>1164.716963</v>
      </c>
      <c r="H713" s="167">
        <f t="shared" si="3"/>
        <v>122429.4963</v>
      </c>
      <c r="I713" s="168">
        <f t="shared" si="6"/>
        <v>196701.3821</v>
      </c>
      <c r="J713" s="1"/>
      <c r="K713" s="164"/>
      <c r="L713" s="164">
        <v>610.0</v>
      </c>
      <c r="M713" s="165">
        <f t="shared" si="7"/>
        <v>1903165.222</v>
      </c>
      <c r="N713" s="166">
        <f t="shared" si="8"/>
        <v>1104.083389</v>
      </c>
      <c r="O713" s="169">
        <f t="shared" si="9"/>
        <v>194131.3583</v>
      </c>
      <c r="P713" s="171">
        <f t="shared" si="550"/>
        <v>297783.2952</v>
      </c>
      <c r="Q713" s="172"/>
      <c r="R713" s="172"/>
    </row>
    <row r="714" ht="14.25" customHeight="1" outlineLevel="1">
      <c r="A714" s="1"/>
      <c r="B714" s="163"/>
      <c r="C714" s="163"/>
      <c r="D714" s="164"/>
      <c r="E714" s="164">
        <v>611.0</v>
      </c>
      <c r="F714" s="165">
        <f t="shared" si="5"/>
        <v>2036367.352</v>
      </c>
      <c r="G714" s="166">
        <f t="shared" si="2"/>
        <v>1170.911228</v>
      </c>
      <c r="H714" s="167">
        <f t="shared" si="3"/>
        <v>123060.754</v>
      </c>
      <c r="I714" s="168">
        <f t="shared" si="6"/>
        <v>197872.2933</v>
      </c>
      <c r="J714" s="1"/>
      <c r="K714" s="164"/>
      <c r="L714" s="164">
        <v>611.0</v>
      </c>
      <c r="M714" s="165">
        <f t="shared" si="7"/>
        <v>1913306.598</v>
      </c>
      <c r="N714" s="166">
        <f t="shared" si="8"/>
        <v>1109.914681</v>
      </c>
      <c r="O714" s="169">
        <f t="shared" si="9"/>
        <v>195241.273</v>
      </c>
      <c r="P714" s="171">
        <f t="shared" si="550"/>
        <v>298271.4645</v>
      </c>
      <c r="Q714" s="172"/>
      <c r="R714" s="172"/>
    </row>
    <row r="715" ht="14.25" customHeight="1" outlineLevel="1">
      <c r="A715" s="1"/>
      <c r="B715" s="163"/>
      <c r="C715" s="163"/>
      <c r="D715" s="164">
        <v>51.0</v>
      </c>
      <c r="E715" s="164">
        <v>612.0</v>
      </c>
      <c r="F715" s="165">
        <f t="shared" si="5"/>
        <v>2047194.667</v>
      </c>
      <c r="G715" s="166">
        <f t="shared" si="2"/>
        <v>1177.136934</v>
      </c>
      <c r="H715" s="167">
        <f t="shared" si="3"/>
        <v>123695.216</v>
      </c>
      <c r="I715" s="168">
        <f t="shared" si="6"/>
        <v>199049.4303</v>
      </c>
      <c r="J715" s="1"/>
      <c r="K715" s="164">
        <v>51.0</v>
      </c>
      <c r="L715" s="164">
        <v>612.0</v>
      </c>
      <c r="M715" s="165">
        <f t="shared" si="7"/>
        <v>1923499.451</v>
      </c>
      <c r="N715" s="166">
        <f t="shared" si="8"/>
        <v>1115.775571</v>
      </c>
      <c r="O715" s="169">
        <f t="shared" si="9"/>
        <v>196357.0486</v>
      </c>
      <c r="P715" s="171">
        <f t="shared" si="550"/>
        <v>298759.6338</v>
      </c>
      <c r="Q715" s="172"/>
      <c r="R715" s="172"/>
    </row>
    <row r="716" ht="14.25" customHeight="1" outlineLevel="1">
      <c r="A716" s="1"/>
      <c r="B716" s="163"/>
      <c r="C716" s="163"/>
      <c r="D716" s="164"/>
      <c r="E716" s="164">
        <v>613.0</v>
      </c>
      <c r="F716" s="165">
        <f t="shared" si="5"/>
        <v>2058076.941</v>
      </c>
      <c r="G716" s="166">
        <f t="shared" si="2"/>
        <v>1183.394241</v>
      </c>
      <c r="H716" s="167">
        <f t="shared" si="3"/>
        <v>124332.8984</v>
      </c>
      <c r="I716" s="168">
        <f t="shared" si="6"/>
        <v>200232.8245</v>
      </c>
      <c r="J716" s="1"/>
      <c r="K716" s="164"/>
      <c r="L716" s="164">
        <v>613.0</v>
      </c>
      <c r="M716" s="165">
        <f t="shared" si="7"/>
        <v>1933744.042</v>
      </c>
      <c r="N716" s="166">
        <f t="shared" si="8"/>
        <v>1121.666211</v>
      </c>
      <c r="O716" s="169">
        <f t="shared" si="9"/>
        <v>197478.7148</v>
      </c>
      <c r="P716" s="171">
        <f t="shared" si="550"/>
        <v>299247.8032</v>
      </c>
      <c r="Q716" s="172"/>
      <c r="R716" s="172"/>
    </row>
    <row r="717" ht="14.25" customHeight="1" outlineLevel="1">
      <c r="A717" s="1"/>
      <c r="B717" s="163"/>
      <c r="C717" s="163"/>
      <c r="D717" s="164"/>
      <c r="E717" s="164">
        <v>614.0</v>
      </c>
      <c r="F717" s="165">
        <f t="shared" si="5"/>
        <v>2069014.451</v>
      </c>
      <c r="G717" s="166">
        <f t="shared" si="2"/>
        <v>1189.683309</v>
      </c>
      <c r="H717" s="167">
        <f t="shared" si="3"/>
        <v>124973.8177</v>
      </c>
      <c r="I717" s="168">
        <f t="shared" si="6"/>
        <v>201422.5078</v>
      </c>
      <c r="J717" s="1"/>
      <c r="K717" s="164"/>
      <c r="L717" s="164">
        <v>614.0</v>
      </c>
      <c r="M717" s="165">
        <f t="shared" si="7"/>
        <v>1944040.633</v>
      </c>
      <c r="N717" s="166">
        <f t="shared" si="8"/>
        <v>1127.586751</v>
      </c>
      <c r="O717" s="169">
        <f t="shared" si="9"/>
        <v>198606.3016</v>
      </c>
      <c r="P717" s="171">
        <f t="shared" si="550"/>
        <v>299735.9725</v>
      </c>
      <c r="Q717" s="172"/>
      <c r="R717" s="172"/>
    </row>
    <row r="718" ht="14.25" customHeight="1" outlineLevel="1">
      <c r="A718" s="1"/>
      <c r="B718" s="163"/>
      <c r="C718" s="163"/>
      <c r="D718" s="164"/>
      <c r="E718" s="164">
        <v>615.0</v>
      </c>
      <c r="F718" s="165">
        <f t="shared" si="5"/>
        <v>2080007.479</v>
      </c>
      <c r="G718" s="166">
        <f t="shared" si="2"/>
        <v>1196.0043</v>
      </c>
      <c r="H718" s="167">
        <f t="shared" si="3"/>
        <v>125617.9901</v>
      </c>
      <c r="I718" s="168">
        <f t="shared" si="6"/>
        <v>202618.5121</v>
      </c>
      <c r="J718" s="1"/>
      <c r="K718" s="164"/>
      <c r="L718" s="164">
        <v>615.0</v>
      </c>
      <c r="M718" s="165">
        <f t="shared" si="7"/>
        <v>1954389.489</v>
      </c>
      <c r="N718" s="166">
        <f t="shared" si="8"/>
        <v>1133.537343</v>
      </c>
      <c r="O718" s="169">
        <f t="shared" si="9"/>
        <v>199739.8389</v>
      </c>
      <c r="P718" s="171">
        <f t="shared" si="550"/>
        <v>300224.1419</v>
      </c>
      <c r="Q718" s="172"/>
      <c r="R718" s="172"/>
    </row>
    <row r="719" ht="14.25" customHeight="1" outlineLevel="1">
      <c r="A719" s="1"/>
      <c r="B719" s="163"/>
      <c r="C719" s="163"/>
      <c r="D719" s="164"/>
      <c r="E719" s="164">
        <v>616.0</v>
      </c>
      <c r="F719" s="165">
        <f t="shared" si="5"/>
        <v>2091056.307</v>
      </c>
      <c r="G719" s="166">
        <f t="shared" si="2"/>
        <v>1202.357376</v>
      </c>
      <c r="H719" s="167">
        <f t="shared" si="3"/>
        <v>126265.4324</v>
      </c>
      <c r="I719" s="168">
        <f t="shared" si="6"/>
        <v>203820.8695</v>
      </c>
      <c r="J719" s="1"/>
      <c r="K719" s="164"/>
      <c r="L719" s="164">
        <v>616.0</v>
      </c>
      <c r="M719" s="165">
        <f t="shared" si="7"/>
        <v>1964790.874</v>
      </c>
      <c r="N719" s="166">
        <f t="shared" si="8"/>
        <v>1139.518139</v>
      </c>
      <c r="O719" s="169">
        <f t="shared" si="9"/>
        <v>200879.357</v>
      </c>
      <c r="P719" s="171">
        <f t="shared" si="550"/>
        <v>300712.3112</v>
      </c>
      <c r="Q719" s="172"/>
      <c r="R719" s="172"/>
    </row>
    <row r="720" ht="14.25" customHeight="1" outlineLevel="1">
      <c r="A720" s="1"/>
      <c r="B720" s="163"/>
      <c r="C720" s="163"/>
      <c r="D720" s="164"/>
      <c r="E720" s="164">
        <v>617.0</v>
      </c>
      <c r="F720" s="165">
        <f t="shared" si="5"/>
        <v>2102161.217</v>
      </c>
      <c r="G720" s="166">
        <f t="shared" si="2"/>
        <v>1208.7427</v>
      </c>
      <c r="H720" s="167">
        <f t="shared" si="3"/>
        <v>126916.1609</v>
      </c>
      <c r="I720" s="168">
        <f t="shared" si="6"/>
        <v>205029.6122</v>
      </c>
      <c r="J720" s="1"/>
      <c r="K720" s="164"/>
      <c r="L720" s="164">
        <v>617.0</v>
      </c>
      <c r="M720" s="165">
        <f t="shared" si="7"/>
        <v>1975245.056</v>
      </c>
      <c r="N720" s="166">
        <f t="shared" si="8"/>
        <v>1145.529294</v>
      </c>
      <c r="O720" s="169">
        <f t="shared" si="9"/>
        <v>202024.8863</v>
      </c>
      <c r="P720" s="171">
        <f t="shared" si="550"/>
        <v>301200.4805</v>
      </c>
      <c r="Q720" s="172"/>
      <c r="R720" s="172"/>
    </row>
    <row r="721" ht="14.25" customHeight="1" outlineLevel="1">
      <c r="A721" s="1"/>
      <c r="B721" s="163"/>
      <c r="C721" s="163"/>
      <c r="D721" s="164"/>
      <c r="E721" s="164">
        <v>618.0</v>
      </c>
      <c r="F721" s="165">
        <f t="shared" si="5"/>
        <v>2113322.494</v>
      </c>
      <c r="G721" s="166">
        <f t="shared" si="2"/>
        <v>1215.160434</v>
      </c>
      <c r="H721" s="167">
        <f t="shared" si="3"/>
        <v>127570.1925</v>
      </c>
      <c r="I721" s="168">
        <f t="shared" si="6"/>
        <v>206244.7726</v>
      </c>
      <c r="J721" s="1"/>
      <c r="K721" s="164"/>
      <c r="L721" s="164">
        <v>618.0</v>
      </c>
      <c r="M721" s="165">
        <f t="shared" si="7"/>
        <v>1985752.302</v>
      </c>
      <c r="N721" s="166">
        <f t="shared" si="8"/>
        <v>1151.57096</v>
      </c>
      <c r="O721" s="169">
        <f t="shared" si="9"/>
        <v>203176.4573</v>
      </c>
      <c r="P721" s="171">
        <f t="shared" si="550"/>
        <v>301688.6499</v>
      </c>
      <c r="Q721" s="172"/>
      <c r="R721" s="172"/>
    </row>
    <row r="722" ht="14.25" customHeight="1" outlineLevel="1">
      <c r="A722" s="1"/>
      <c r="B722" s="163"/>
      <c r="C722" s="163"/>
      <c r="D722" s="164"/>
      <c r="E722" s="164">
        <v>619.0</v>
      </c>
      <c r="F722" s="165">
        <f t="shared" si="5"/>
        <v>2124540.425</v>
      </c>
      <c r="G722" s="166">
        <f t="shared" si="2"/>
        <v>1221.610745</v>
      </c>
      <c r="H722" s="167">
        <f t="shared" si="3"/>
        <v>128227.5439</v>
      </c>
      <c r="I722" s="168">
        <f t="shared" si="6"/>
        <v>207466.3834</v>
      </c>
      <c r="J722" s="1"/>
      <c r="K722" s="164"/>
      <c r="L722" s="164">
        <v>619.0</v>
      </c>
      <c r="M722" s="165">
        <f t="shared" si="7"/>
        <v>1996312.881</v>
      </c>
      <c r="N722" s="166">
        <f t="shared" si="8"/>
        <v>1157.643294</v>
      </c>
      <c r="O722" s="169">
        <f t="shared" si="9"/>
        <v>204334.1006</v>
      </c>
      <c r="P722" s="171">
        <f t="shared" si="550"/>
        <v>302176.8192</v>
      </c>
      <c r="Q722" s="172"/>
      <c r="R722" s="172"/>
    </row>
    <row r="723" ht="14.25" customHeight="1" outlineLevel="1">
      <c r="A723" s="1"/>
      <c r="B723" s="163"/>
      <c r="C723" s="163"/>
      <c r="D723" s="164"/>
      <c r="E723" s="164">
        <v>620.0</v>
      </c>
      <c r="F723" s="165">
        <f t="shared" si="5"/>
        <v>2135815.297</v>
      </c>
      <c r="G723" s="166">
        <f t="shared" si="2"/>
        <v>1228.093796</v>
      </c>
      <c r="H723" s="167">
        <f t="shared" si="3"/>
        <v>128888.232</v>
      </c>
      <c r="I723" s="168">
        <f t="shared" si="6"/>
        <v>208694.4772</v>
      </c>
      <c r="J723" s="1"/>
      <c r="K723" s="164"/>
      <c r="L723" s="164">
        <v>620.0</v>
      </c>
      <c r="M723" s="165">
        <f t="shared" si="7"/>
        <v>2006927.065</v>
      </c>
      <c r="N723" s="166">
        <f t="shared" si="8"/>
        <v>1163.746449</v>
      </c>
      <c r="O723" s="169">
        <f t="shared" si="9"/>
        <v>205497.847</v>
      </c>
      <c r="P723" s="171">
        <f t="shared" si="550"/>
        <v>302664.9885</v>
      </c>
      <c r="Q723" s="172"/>
      <c r="R723" s="172"/>
    </row>
    <row r="724" ht="14.25" customHeight="1" outlineLevel="1">
      <c r="A724" s="1"/>
      <c r="B724" s="163"/>
      <c r="C724" s="163"/>
      <c r="D724" s="164"/>
      <c r="E724" s="164">
        <v>621.0</v>
      </c>
      <c r="F724" s="165">
        <f t="shared" si="5"/>
        <v>2147147.4</v>
      </c>
      <c r="G724" s="166">
        <f t="shared" si="2"/>
        <v>1234.609755</v>
      </c>
      <c r="H724" s="167">
        <f t="shared" si="3"/>
        <v>129552.2736</v>
      </c>
      <c r="I724" s="168">
        <f t="shared" si="6"/>
        <v>209929.0869</v>
      </c>
      <c r="J724" s="1"/>
      <c r="K724" s="164"/>
      <c r="L724" s="164">
        <v>621.0</v>
      </c>
      <c r="M724" s="165">
        <f t="shared" si="7"/>
        <v>2017595.126</v>
      </c>
      <c r="N724" s="166">
        <f t="shared" si="8"/>
        <v>1169.880584</v>
      </c>
      <c r="O724" s="169">
        <f t="shared" si="9"/>
        <v>206667.7276</v>
      </c>
      <c r="P724" s="171">
        <f t="shared" si="550"/>
        <v>303153.1579</v>
      </c>
      <c r="Q724" s="172"/>
      <c r="R724" s="172"/>
    </row>
    <row r="725" ht="14.25" customHeight="1" outlineLevel="1">
      <c r="A725" s="1"/>
      <c r="B725" s="163"/>
      <c r="C725" s="163"/>
      <c r="D725" s="164"/>
      <c r="E725" s="164">
        <v>622.0</v>
      </c>
      <c r="F725" s="165">
        <f t="shared" si="5"/>
        <v>2158537.022</v>
      </c>
      <c r="G725" s="166">
        <f t="shared" si="2"/>
        <v>1241.158788</v>
      </c>
      <c r="H725" s="167">
        <f t="shared" si="3"/>
        <v>130219.6858</v>
      </c>
      <c r="I725" s="168">
        <f t="shared" si="6"/>
        <v>211170.2457</v>
      </c>
      <c r="J725" s="1"/>
      <c r="K725" s="164"/>
      <c r="L725" s="164">
        <v>622.0</v>
      </c>
      <c r="M725" s="165">
        <f t="shared" si="7"/>
        <v>2028317.336</v>
      </c>
      <c r="N725" s="166">
        <f t="shared" si="8"/>
        <v>1176.045855</v>
      </c>
      <c r="O725" s="169">
        <f t="shared" si="9"/>
        <v>207843.7735</v>
      </c>
      <c r="P725" s="171">
        <f t="shared" si="550"/>
        <v>303641.3272</v>
      </c>
      <c r="Q725" s="172"/>
      <c r="R725" s="172"/>
    </row>
    <row r="726" ht="14.25" customHeight="1" outlineLevel="1">
      <c r="A726" s="1"/>
      <c r="B726" s="163"/>
      <c r="C726" s="163"/>
      <c r="D726" s="164"/>
      <c r="E726" s="164">
        <v>623.0</v>
      </c>
      <c r="F726" s="165">
        <f t="shared" si="5"/>
        <v>2169984.457</v>
      </c>
      <c r="G726" s="166">
        <f t="shared" si="2"/>
        <v>1247.741063</v>
      </c>
      <c r="H726" s="167">
        <f t="shared" si="3"/>
        <v>130890.4858</v>
      </c>
      <c r="I726" s="168">
        <f t="shared" si="6"/>
        <v>212417.9868</v>
      </c>
      <c r="J726" s="1"/>
      <c r="K726" s="164"/>
      <c r="L726" s="164">
        <v>623.0</v>
      </c>
      <c r="M726" s="165">
        <f t="shared" si="7"/>
        <v>2039093.972</v>
      </c>
      <c r="N726" s="166">
        <f t="shared" si="8"/>
        <v>1182.24242</v>
      </c>
      <c r="O726" s="169">
        <f t="shared" si="9"/>
        <v>209026.0159</v>
      </c>
      <c r="P726" s="171">
        <f t="shared" si="550"/>
        <v>304129.4965</v>
      </c>
      <c r="Q726" s="172"/>
      <c r="R726" s="172"/>
    </row>
    <row r="727" ht="14.25" customHeight="1" outlineLevel="1">
      <c r="A727" s="1"/>
      <c r="B727" s="163"/>
      <c r="C727" s="163"/>
      <c r="D727" s="164">
        <v>52.0</v>
      </c>
      <c r="E727" s="164">
        <v>624.0</v>
      </c>
      <c r="F727" s="165">
        <f t="shared" si="5"/>
        <v>2181489.999</v>
      </c>
      <c r="G727" s="166">
        <f t="shared" si="2"/>
        <v>1254.356749</v>
      </c>
      <c r="H727" s="167">
        <f t="shared" si="3"/>
        <v>131564.6906</v>
      </c>
      <c r="I727" s="168">
        <f t="shared" si="6"/>
        <v>213672.3435</v>
      </c>
      <c r="J727" s="1"/>
      <c r="K727" s="164">
        <v>52.0</v>
      </c>
      <c r="L727" s="164">
        <v>624.0</v>
      </c>
      <c r="M727" s="165">
        <f t="shared" si="7"/>
        <v>2049925.308</v>
      </c>
      <c r="N727" s="166">
        <f t="shared" si="8"/>
        <v>1188.470439</v>
      </c>
      <c r="O727" s="169">
        <f t="shared" si="9"/>
        <v>210214.4863</v>
      </c>
      <c r="P727" s="171">
        <f t="shared" si="550"/>
        <v>304617.6659</v>
      </c>
      <c r="Q727" s="172"/>
      <c r="R727" s="172"/>
    </row>
    <row r="728" ht="14.25" customHeight="1" outlineLevel="1">
      <c r="A728" s="1"/>
      <c r="B728" s="163"/>
      <c r="C728" s="163"/>
      <c r="D728" s="164"/>
      <c r="E728" s="164">
        <v>625.0</v>
      </c>
      <c r="F728" s="165">
        <f t="shared" si="5"/>
        <v>2193053.941</v>
      </c>
      <c r="G728" s="166">
        <f t="shared" si="2"/>
        <v>1261.006016</v>
      </c>
      <c r="H728" s="167">
        <f t="shared" si="3"/>
        <v>132242.3177</v>
      </c>
      <c r="I728" s="168">
        <f t="shared" si="6"/>
        <v>214933.3496</v>
      </c>
      <c r="J728" s="1"/>
      <c r="K728" s="164"/>
      <c r="L728" s="164">
        <v>625.0</v>
      </c>
      <c r="M728" s="165">
        <f t="shared" si="7"/>
        <v>2060811.623</v>
      </c>
      <c r="N728" s="166">
        <f t="shared" si="8"/>
        <v>1194.73007</v>
      </c>
      <c r="O728" s="169">
        <f t="shared" si="9"/>
        <v>211409.2164</v>
      </c>
      <c r="P728" s="171">
        <f t="shared" si="550"/>
        <v>305105.8352</v>
      </c>
      <c r="Q728" s="172"/>
      <c r="R728" s="172"/>
    </row>
    <row r="729" ht="14.25" customHeight="1" outlineLevel="1">
      <c r="A729" s="1"/>
      <c r="B729" s="163"/>
      <c r="C729" s="163"/>
      <c r="D729" s="164"/>
      <c r="E729" s="164">
        <v>626.0</v>
      </c>
      <c r="F729" s="165">
        <f t="shared" si="5"/>
        <v>2204676.58</v>
      </c>
      <c r="G729" s="166">
        <f t="shared" si="2"/>
        <v>1267.689033</v>
      </c>
      <c r="H729" s="167">
        <f t="shared" si="3"/>
        <v>132923.3843</v>
      </c>
      <c r="I729" s="168">
        <f t="shared" si="6"/>
        <v>216201.0386</v>
      </c>
      <c r="J729" s="1"/>
      <c r="K729" s="164"/>
      <c r="L729" s="164">
        <v>626.0</v>
      </c>
      <c r="M729" s="165">
        <f t="shared" si="7"/>
        <v>2071753.196</v>
      </c>
      <c r="N729" s="166">
        <f t="shared" si="8"/>
        <v>1201.021474</v>
      </c>
      <c r="O729" s="169">
        <f t="shared" si="9"/>
        <v>212610.2379</v>
      </c>
      <c r="P729" s="171">
        <f t="shared" si="550"/>
        <v>305594.0046</v>
      </c>
      <c r="Q729" s="172"/>
      <c r="R729" s="172"/>
    </row>
    <row r="730" ht="14.25" customHeight="1" outlineLevel="1">
      <c r="A730" s="1"/>
      <c r="B730" s="163"/>
      <c r="C730" s="163"/>
      <c r="D730" s="164"/>
      <c r="E730" s="164">
        <v>627.0</v>
      </c>
      <c r="F730" s="165">
        <f t="shared" si="5"/>
        <v>2216358.215</v>
      </c>
      <c r="G730" s="166">
        <f t="shared" si="2"/>
        <v>1274.405973</v>
      </c>
      <c r="H730" s="167">
        <f t="shared" si="3"/>
        <v>133607.9079</v>
      </c>
      <c r="I730" s="168">
        <f t="shared" si="6"/>
        <v>217475.4446</v>
      </c>
      <c r="J730" s="1"/>
      <c r="K730" s="164"/>
      <c r="L730" s="164">
        <v>627.0</v>
      </c>
      <c r="M730" s="165">
        <f t="shared" si="7"/>
        <v>2082750.307</v>
      </c>
      <c r="N730" s="166">
        <f t="shared" si="8"/>
        <v>1207.344813</v>
      </c>
      <c r="O730" s="169">
        <f t="shared" si="9"/>
        <v>213817.5827</v>
      </c>
      <c r="P730" s="171">
        <f t="shared" si="550"/>
        <v>306082.1739</v>
      </c>
      <c r="Q730" s="172"/>
      <c r="R730" s="172"/>
    </row>
    <row r="731" ht="14.25" customHeight="1" outlineLevel="1">
      <c r="A731" s="1"/>
      <c r="B731" s="163"/>
      <c r="C731" s="163"/>
      <c r="D731" s="164"/>
      <c r="E731" s="164">
        <v>628.0</v>
      </c>
      <c r="F731" s="165">
        <f t="shared" si="5"/>
        <v>2228099.144</v>
      </c>
      <c r="G731" s="166">
        <f t="shared" si="2"/>
        <v>1281.157008</v>
      </c>
      <c r="H731" s="167">
        <f t="shared" si="3"/>
        <v>134295.9061</v>
      </c>
      <c r="I731" s="168">
        <f t="shared" si="6"/>
        <v>218756.6016</v>
      </c>
      <c r="J731" s="1"/>
      <c r="K731" s="164"/>
      <c r="L731" s="164">
        <v>628.0</v>
      </c>
      <c r="M731" s="165">
        <f t="shared" si="7"/>
        <v>2093803.238</v>
      </c>
      <c r="N731" s="166">
        <f t="shared" si="8"/>
        <v>1213.700249</v>
      </c>
      <c r="O731" s="169">
        <f t="shared" si="9"/>
        <v>215031.2829</v>
      </c>
      <c r="P731" s="171">
        <f t="shared" si="550"/>
        <v>306570.3432</v>
      </c>
      <c r="Q731" s="172"/>
      <c r="R731" s="172"/>
    </row>
    <row r="732" ht="14.25" customHeight="1" outlineLevel="1">
      <c r="A732" s="1"/>
      <c r="B732" s="163"/>
      <c r="C732" s="163"/>
      <c r="D732" s="164"/>
      <c r="E732" s="164">
        <v>629.0</v>
      </c>
      <c r="F732" s="165">
        <f t="shared" si="5"/>
        <v>2239899.669</v>
      </c>
      <c r="G732" s="166">
        <f t="shared" si="2"/>
        <v>1287.94231</v>
      </c>
      <c r="H732" s="167">
        <f t="shared" si="3"/>
        <v>134987.3965</v>
      </c>
      <c r="I732" s="168">
        <f t="shared" si="6"/>
        <v>220044.5439</v>
      </c>
      <c r="J732" s="1"/>
      <c r="K732" s="164"/>
      <c r="L732" s="164">
        <v>629.0</v>
      </c>
      <c r="M732" s="165">
        <f t="shared" si="7"/>
        <v>2104912.273</v>
      </c>
      <c r="N732" s="166">
        <f t="shared" si="8"/>
        <v>1220.087944</v>
      </c>
      <c r="O732" s="169">
        <f t="shared" si="9"/>
        <v>216251.3709</v>
      </c>
      <c r="P732" s="171">
        <f t="shared" si="550"/>
        <v>307058.5126</v>
      </c>
      <c r="Q732" s="172"/>
      <c r="R732" s="172"/>
    </row>
    <row r="733" ht="14.25" customHeight="1" outlineLevel="1">
      <c r="A733" s="1"/>
      <c r="B733" s="163"/>
      <c r="C733" s="163"/>
      <c r="D733" s="164"/>
      <c r="E733" s="164">
        <v>630.0</v>
      </c>
      <c r="F733" s="165">
        <f t="shared" si="5"/>
        <v>2251760.093</v>
      </c>
      <c r="G733" s="166">
        <f t="shared" si="2"/>
        <v>1294.762053</v>
      </c>
      <c r="H733" s="167">
        <f t="shared" si="3"/>
        <v>135682.3969</v>
      </c>
      <c r="I733" s="168">
        <f t="shared" si="6"/>
        <v>221339.3059</v>
      </c>
      <c r="J733" s="1"/>
      <c r="K733" s="164"/>
      <c r="L733" s="164">
        <v>630.0</v>
      </c>
      <c r="M733" s="165">
        <f t="shared" si="7"/>
        <v>2116077.696</v>
      </c>
      <c r="N733" s="166">
        <f t="shared" si="8"/>
        <v>1226.508062</v>
      </c>
      <c r="O733" s="169">
        <f t="shared" si="9"/>
        <v>217477.8789</v>
      </c>
      <c r="P733" s="171">
        <f t="shared" si="550"/>
        <v>307546.6819</v>
      </c>
      <c r="Q733" s="172"/>
      <c r="R733" s="172"/>
    </row>
    <row r="734" ht="14.25" customHeight="1" outlineLevel="1">
      <c r="A734" s="1"/>
      <c r="B734" s="163"/>
      <c r="C734" s="163"/>
      <c r="D734" s="164"/>
      <c r="E734" s="164">
        <v>631.0</v>
      </c>
      <c r="F734" s="165">
        <f t="shared" si="5"/>
        <v>2263680.718</v>
      </c>
      <c r="G734" s="166">
        <f t="shared" si="2"/>
        <v>1301.616413</v>
      </c>
      <c r="H734" s="167">
        <f t="shared" si="3"/>
        <v>136380.925</v>
      </c>
      <c r="I734" s="168">
        <f t="shared" si="6"/>
        <v>222640.9223</v>
      </c>
      <c r="J734" s="1"/>
      <c r="K734" s="164"/>
      <c r="L734" s="164">
        <v>631.0</v>
      </c>
      <c r="M734" s="165">
        <f t="shared" si="7"/>
        <v>2127299.793</v>
      </c>
      <c r="N734" s="166">
        <f t="shared" si="8"/>
        <v>1232.960768</v>
      </c>
      <c r="O734" s="169">
        <f t="shared" si="9"/>
        <v>218710.8397</v>
      </c>
      <c r="P734" s="171">
        <f t="shared" si="550"/>
        <v>308034.8512</v>
      </c>
      <c r="Q734" s="172"/>
      <c r="R734" s="172"/>
    </row>
    <row r="735" ht="14.25" customHeight="1" outlineLevel="1">
      <c r="A735" s="1"/>
      <c r="B735" s="163"/>
      <c r="C735" s="163"/>
      <c r="D735" s="164"/>
      <c r="E735" s="164">
        <v>632.0</v>
      </c>
      <c r="F735" s="165">
        <f t="shared" si="5"/>
        <v>2275661.852</v>
      </c>
      <c r="G735" s="166">
        <f t="shared" si="2"/>
        <v>1308.505565</v>
      </c>
      <c r="H735" s="167">
        <f t="shared" si="3"/>
        <v>137082.9987</v>
      </c>
      <c r="I735" s="168">
        <f t="shared" si="6"/>
        <v>223949.4279</v>
      </c>
      <c r="J735" s="1"/>
      <c r="K735" s="164"/>
      <c r="L735" s="164">
        <v>632.0</v>
      </c>
      <c r="M735" s="165">
        <f t="shared" si="7"/>
        <v>2138578.853</v>
      </c>
      <c r="N735" s="166">
        <f t="shared" si="8"/>
        <v>1239.446227</v>
      </c>
      <c r="O735" s="169">
        <f t="shared" si="9"/>
        <v>219950.2859</v>
      </c>
      <c r="P735" s="171">
        <f t="shared" si="550"/>
        <v>308523.0206</v>
      </c>
      <c r="Q735" s="172"/>
      <c r="R735" s="172"/>
    </row>
    <row r="736" ht="14.25" customHeight="1" outlineLevel="1">
      <c r="A736" s="1"/>
      <c r="B736" s="163"/>
      <c r="C736" s="163"/>
      <c r="D736" s="164"/>
      <c r="E736" s="164">
        <v>633.0</v>
      </c>
      <c r="F736" s="165">
        <f t="shared" si="5"/>
        <v>2287703.8</v>
      </c>
      <c r="G736" s="166">
        <f t="shared" si="2"/>
        <v>1315.429685</v>
      </c>
      <c r="H736" s="167">
        <f t="shared" si="3"/>
        <v>137788.6361</v>
      </c>
      <c r="I736" s="168">
        <f t="shared" si="6"/>
        <v>225264.8576</v>
      </c>
      <c r="J736" s="1"/>
      <c r="K736" s="164"/>
      <c r="L736" s="164">
        <v>633.0</v>
      </c>
      <c r="M736" s="165">
        <f t="shared" si="7"/>
        <v>2149915.164</v>
      </c>
      <c r="N736" s="166">
        <f t="shared" si="8"/>
        <v>1245.964606</v>
      </c>
      <c r="O736" s="169">
        <f t="shared" si="9"/>
        <v>221196.2505</v>
      </c>
      <c r="P736" s="171">
        <f t="shared" si="550"/>
        <v>309011.1899</v>
      </c>
      <c r="Q736" s="172"/>
      <c r="R736" s="172"/>
    </row>
    <row r="737" ht="14.25" customHeight="1" outlineLevel="1">
      <c r="A737" s="1"/>
      <c r="B737" s="163"/>
      <c r="C737" s="163"/>
      <c r="D737" s="164"/>
      <c r="E737" s="164">
        <v>634.0</v>
      </c>
      <c r="F737" s="165">
        <f t="shared" si="5"/>
        <v>2299806.872</v>
      </c>
      <c r="G737" s="166">
        <f t="shared" si="2"/>
        <v>1322.388952</v>
      </c>
      <c r="H737" s="167">
        <f t="shared" si="3"/>
        <v>138497.8552</v>
      </c>
      <c r="I737" s="168">
        <f t="shared" si="6"/>
        <v>226587.2465</v>
      </c>
      <c r="J737" s="1"/>
      <c r="K737" s="164"/>
      <c r="L737" s="164">
        <v>634.0</v>
      </c>
      <c r="M737" s="165">
        <f t="shared" si="7"/>
        <v>2161309.017</v>
      </c>
      <c r="N737" s="166">
        <f t="shared" si="8"/>
        <v>1252.516072</v>
      </c>
      <c r="O737" s="169">
        <f t="shared" si="9"/>
        <v>222448.7666</v>
      </c>
      <c r="P737" s="171">
        <f t="shared" si="550"/>
        <v>309499.3592</v>
      </c>
      <c r="Q737" s="172"/>
      <c r="R737" s="172"/>
    </row>
    <row r="738" ht="14.25" customHeight="1" outlineLevel="1">
      <c r="A738" s="1"/>
      <c r="B738" s="163"/>
      <c r="C738" s="163"/>
      <c r="D738" s="164"/>
      <c r="E738" s="164">
        <v>635.0</v>
      </c>
      <c r="F738" s="165">
        <f t="shared" si="5"/>
        <v>2311971.378</v>
      </c>
      <c r="G738" s="166">
        <f t="shared" si="2"/>
        <v>1329.383543</v>
      </c>
      <c r="H738" s="167">
        <f t="shared" si="3"/>
        <v>139210.6743</v>
      </c>
      <c r="I738" s="168">
        <f t="shared" si="6"/>
        <v>227916.6301</v>
      </c>
      <c r="J738" s="1"/>
      <c r="K738" s="164"/>
      <c r="L738" s="164">
        <v>635.0</v>
      </c>
      <c r="M738" s="165">
        <f t="shared" si="7"/>
        <v>2172760.704</v>
      </c>
      <c r="N738" s="166">
        <f t="shared" si="8"/>
        <v>1259.100792</v>
      </c>
      <c r="O738" s="169">
        <f t="shared" si="9"/>
        <v>223707.8674</v>
      </c>
      <c r="P738" s="171">
        <f t="shared" si="550"/>
        <v>309987.5286</v>
      </c>
      <c r="Q738" s="172"/>
      <c r="R738" s="172"/>
    </row>
    <row r="739" ht="14.25" customHeight="1" outlineLevel="1">
      <c r="A739" s="1"/>
      <c r="B739" s="163"/>
      <c r="C739" s="163"/>
      <c r="D739" s="164">
        <v>53.0</v>
      </c>
      <c r="E739" s="164">
        <v>636.0</v>
      </c>
      <c r="F739" s="165">
        <f t="shared" si="5"/>
        <v>2324197.63</v>
      </c>
      <c r="G739" s="166">
        <f t="shared" si="2"/>
        <v>1336.413637</v>
      </c>
      <c r="H739" s="167">
        <f t="shared" si="3"/>
        <v>139927.1116</v>
      </c>
      <c r="I739" s="168">
        <f t="shared" si="6"/>
        <v>229253.0437</v>
      </c>
      <c r="J739" s="1"/>
      <c r="K739" s="164">
        <v>53.0</v>
      </c>
      <c r="L739" s="164">
        <v>636.0</v>
      </c>
      <c r="M739" s="165">
        <f t="shared" si="7"/>
        <v>2184270.519</v>
      </c>
      <c r="N739" s="166">
        <f t="shared" si="8"/>
        <v>1265.718935</v>
      </c>
      <c r="O739" s="169">
        <f t="shared" si="9"/>
        <v>224973.5863</v>
      </c>
      <c r="P739" s="171">
        <f t="shared" si="550"/>
        <v>310475.6979</v>
      </c>
      <c r="Q739" s="172"/>
      <c r="R739" s="172"/>
    </row>
    <row r="740" ht="14.25" customHeight="1" outlineLevel="1">
      <c r="A740" s="1"/>
      <c r="B740" s="163"/>
      <c r="C740" s="163"/>
      <c r="D740" s="164"/>
      <c r="E740" s="164">
        <v>637.0</v>
      </c>
      <c r="F740" s="165">
        <f t="shared" si="5"/>
        <v>2336485.941</v>
      </c>
      <c r="G740" s="166">
        <f t="shared" si="2"/>
        <v>1343.479416</v>
      </c>
      <c r="H740" s="167">
        <f t="shared" si="3"/>
        <v>140647.1854</v>
      </c>
      <c r="I740" s="168">
        <f t="shared" si="6"/>
        <v>230596.5231</v>
      </c>
      <c r="J740" s="1"/>
      <c r="K740" s="164"/>
      <c r="L740" s="164">
        <v>637.0</v>
      </c>
      <c r="M740" s="165">
        <f t="shared" si="7"/>
        <v>2195838.756</v>
      </c>
      <c r="N740" s="166">
        <f t="shared" si="8"/>
        <v>1272.370671</v>
      </c>
      <c r="O740" s="169">
        <f t="shared" si="9"/>
        <v>226245.957</v>
      </c>
      <c r="P740" s="171">
        <f t="shared" si="550"/>
        <v>310963.8673</v>
      </c>
      <c r="Q740" s="172"/>
      <c r="R740" s="172"/>
    </row>
    <row r="741" ht="14.25" customHeight="1" outlineLevel="1">
      <c r="A741" s="1"/>
      <c r="B741" s="163"/>
      <c r="C741" s="163"/>
      <c r="D741" s="164"/>
      <c r="E741" s="164">
        <v>638.0</v>
      </c>
      <c r="F741" s="165">
        <f t="shared" si="5"/>
        <v>2348836.626</v>
      </c>
      <c r="G741" s="166">
        <f t="shared" si="2"/>
        <v>1350.58106</v>
      </c>
      <c r="H741" s="167">
        <f t="shared" si="3"/>
        <v>141370.9142</v>
      </c>
      <c r="I741" s="168">
        <f t="shared" si="6"/>
        <v>231947.1042</v>
      </c>
      <c r="J741" s="1"/>
      <c r="K741" s="164"/>
      <c r="L741" s="164">
        <v>638.0</v>
      </c>
      <c r="M741" s="165">
        <f t="shared" si="7"/>
        <v>2207465.712</v>
      </c>
      <c r="N741" s="166">
        <f t="shared" si="8"/>
        <v>1279.056171</v>
      </c>
      <c r="O741" s="169">
        <f t="shared" si="9"/>
        <v>227525.0132</v>
      </c>
      <c r="P741" s="171">
        <f t="shared" si="550"/>
        <v>311452.0366</v>
      </c>
      <c r="Q741" s="172"/>
      <c r="R741" s="172"/>
    </row>
    <row r="742" ht="14.25" customHeight="1" outlineLevel="1">
      <c r="A742" s="1"/>
      <c r="B742" s="163"/>
      <c r="C742" s="163"/>
      <c r="D742" s="164"/>
      <c r="E742" s="164">
        <v>639.0</v>
      </c>
      <c r="F742" s="165">
        <f t="shared" si="5"/>
        <v>2361250.002</v>
      </c>
      <c r="G742" s="166">
        <f t="shared" si="2"/>
        <v>1357.718751</v>
      </c>
      <c r="H742" s="167">
        <f t="shared" si="3"/>
        <v>142098.3166</v>
      </c>
      <c r="I742" s="168">
        <f t="shared" si="6"/>
        <v>233304.823</v>
      </c>
      <c r="J742" s="1"/>
      <c r="K742" s="164"/>
      <c r="L742" s="164">
        <v>639.0</v>
      </c>
      <c r="M742" s="165">
        <f t="shared" si="7"/>
        <v>2219151.685</v>
      </c>
      <c r="N742" s="166">
        <f t="shared" si="8"/>
        <v>1285.775606</v>
      </c>
      <c r="O742" s="169">
        <f t="shared" si="9"/>
        <v>228810.7888</v>
      </c>
      <c r="P742" s="171">
        <f t="shared" si="550"/>
        <v>311940.2059</v>
      </c>
      <c r="Q742" s="172"/>
      <c r="R742" s="172"/>
    </row>
    <row r="743" ht="14.25" customHeight="1" outlineLevel="1">
      <c r="A743" s="1"/>
      <c r="B743" s="163"/>
      <c r="C743" s="163"/>
      <c r="D743" s="164"/>
      <c r="E743" s="164">
        <v>640.0</v>
      </c>
      <c r="F743" s="165">
        <f t="shared" si="5"/>
        <v>2373726.387</v>
      </c>
      <c r="G743" s="166">
        <f t="shared" si="2"/>
        <v>1364.892672</v>
      </c>
      <c r="H743" s="167">
        <f t="shared" si="3"/>
        <v>142829.4112</v>
      </c>
      <c r="I743" s="168">
        <f t="shared" si="6"/>
        <v>234669.7156</v>
      </c>
      <c r="J743" s="1"/>
      <c r="K743" s="164"/>
      <c r="L743" s="164">
        <v>640.0</v>
      </c>
      <c r="M743" s="165">
        <f t="shared" si="7"/>
        <v>2230896.976</v>
      </c>
      <c r="N743" s="166">
        <f t="shared" si="8"/>
        <v>1292.529148</v>
      </c>
      <c r="O743" s="169">
        <f t="shared" si="9"/>
        <v>230103.3179</v>
      </c>
      <c r="P743" s="171">
        <f t="shared" si="550"/>
        <v>312428.3753</v>
      </c>
      <c r="Q743" s="172"/>
      <c r="R743" s="172"/>
    </row>
    <row r="744" ht="14.25" customHeight="1" outlineLevel="1">
      <c r="A744" s="1"/>
      <c r="B744" s="163"/>
      <c r="C744" s="163"/>
      <c r="D744" s="164"/>
      <c r="E744" s="164">
        <v>641.0</v>
      </c>
      <c r="F744" s="165">
        <f t="shared" si="5"/>
        <v>2386266.1</v>
      </c>
      <c r="G744" s="166">
        <f t="shared" si="2"/>
        <v>1372.103008</v>
      </c>
      <c r="H744" s="167">
        <f t="shared" si="3"/>
        <v>143564.2168</v>
      </c>
      <c r="I744" s="168">
        <f t="shared" si="6"/>
        <v>236041.8186</v>
      </c>
      <c r="J744" s="1"/>
      <c r="K744" s="164"/>
      <c r="L744" s="164">
        <v>641.0</v>
      </c>
      <c r="M744" s="165">
        <f t="shared" si="7"/>
        <v>2242701.884</v>
      </c>
      <c r="N744" s="166">
        <f t="shared" si="8"/>
        <v>1299.31697</v>
      </c>
      <c r="O744" s="169">
        <f t="shared" si="9"/>
        <v>231402.6349</v>
      </c>
      <c r="P744" s="171">
        <f t="shared" si="550"/>
        <v>312916.5446</v>
      </c>
      <c r="Q744" s="172"/>
      <c r="R744" s="172"/>
    </row>
    <row r="745" ht="14.25" customHeight="1" outlineLevel="1">
      <c r="A745" s="1"/>
      <c r="B745" s="163"/>
      <c r="C745" s="163"/>
      <c r="D745" s="164"/>
      <c r="E745" s="164">
        <v>642.0</v>
      </c>
      <c r="F745" s="165">
        <f t="shared" si="5"/>
        <v>2398869.464</v>
      </c>
      <c r="G745" s="166">
        <f t="shared" si="2"/>
        <v>1379.349942</v>
      </c>
      <c r="H745" s="167">
        <f t="shared" si="3"/>
        <v>144302.7522</v>
      </c>
      <c r="I745" s="168">
        <f t="shared" si="6"/>
        <v>237421.1686</v>
      </c>
      <c r="J745" s="1"/>
      <c r="K745" s="164"/>
      <c r="L745" s="164">
        <v>642.0</v>
      </c>
      <c r="M745" s="165">
        <f t="shared" si="7"/>
        <v>2254566.712</v>
      </c>
      <c r="N745" s="166">
        <f t="shared" si="8"/>
        <v>1306.139246</v>
      </c>
      <c r="O745" s="169">
        <f t="shared" si="9"/>
        <v>232708.7742</v>
      </c>
      <c r="P745" s="171">
        <f t="shared" si="550"/>
        <v>313404.7139</v>
      </c>
      <c r="Q745" s="172"/>
      <c r="R745" s="172"/>
    </row>
    <row r="746" ht="14.25" customHeight="1" outlineLevel="1">
      <c r="A746" s="1"/>
      <c r="B746" s="163"/>
      <c r="C746" s="163"/>
      <c r="D746" s="164"/>
      <c r="E746" s="164">
        <v>643.0</v>
      </c>
      <c r="F746" s="165">
        <f t="shared" si="5"/>
        <v>2411536.802</v>
      </c>
      <c r="G746" s="166">
        <f t="shared" si="2"/>
        <v>1386.633661</v>
      </c>
      <c r="H746" s="167">
        <f t="shared" si="3"/>
        <v>145045.0363</v>
      </c>
      <c r="I746" s="168">
        <f t="shared" si="6"/>
        <v>238807.8022</v>
      </c>
      <c r="J746" s="1"/>
      <c r="K746" s="164"/>
      <c r="L746" s="164">
        <v>643.0</v>
      </c>
      <c r="M746" s="165">
        <f t="shared" si="7"/>
        <v>2266491.765</v>
      </c>
      <c r="N746" s="166">
        <f t="shared" si="8"/>
        <v>1312.996152</v>
      </c>
      <c r="O746" s="169">
        <f t="shared" si="9"/>
        <v>234021.7703</v>
      </c>
      <c r="P746" s="171">
        <f t="shared" si="550"/>
        <v>313892.8833</v>
      </c>
      <c r="Q746" s="172"/>
      <c r="R746" s="172"/>
    </row>
    <row r="747" ht="14.25" customHeight="1" outlineLevel="1">
      <c r="A747" s="1"/>
      <c r="B747" s="163"/>
      <c r="C747" s="163"/>
      <c r="D747" s="164"/>
      <c r="E747" s="164">
        <v>644.0</v>
      </c>
      <c r="F747" s="165">
        <f t="shared" si="5"/>
        <v>2424268.437</v>
      </c>
      <c r="G747" s="166">
        <f t="shared" si="2"/>
        <v>1393.954351</v>
      </c>
      <c r="H747" s="167">
        <f t="shared" si="3"/>
        <v>145791.0881</v>
      </c>
      <c r="I747" s="168">
        <f t="shared" si="6"/>
        <v>240201.7566</v>
      </c>
      <c r="J747" s="1"/>
      <c r="K747" s="164"/>
      <c r="L747" s="164">
        <v>644.0</v>
      </c>
      <c r="M747" s="165">
        <f t="shared" si="7"/>
        <v>2278477.349</v>
      </c>
      <c r="N747" s="166">
        <f t="shared" si="8"/>
        <v>1319.887862</v>
      </c>
      <c r="O747" s="169">
        <f t="shared" si="9"/>
        <v>235341.6582</v>
      </c>
      <c r="P747" s="171">
        <f t="shared" si="550"/>
        <v>314381.0526</v>
      </c>
      <c r="Q747" s="172"/>
      <c r="R747" s="172"/>
    </row>
    <row r="748" ht="14.25" customHeight="1" outlineLevel="1">
      <c r="A748" s="1"/>
      <c r="B748" s="163"/>
      <c r="C748" s="163"/>
      <c r="D748" s="164"/>
      <c r="E748" s="164">
        <v>645.0</v>
      </c>
      <c r="F748" s="165">
        <f t="shared" si="5"/>
        <v>2437064.697</v>
      </c>
      <c r="G748" s="166">
        <f t="shared" si="2"/>
        <v>1401.312201</v>
      </c>
      <c r="H748" s="167">
        <f t="shared" si="3"/>
        <v>146540.9269</v>
      </c>
      <c r="I748" s="168">
        <f t="shared" si="6"/>
        <v>241603.0688</v>
      </c>
      <c r="J748" s="1"/>
      <c r="K748" s="164"/>
      <c r="L748" s="164">
        <v>645.0</v>
      </c>
      <c r="M748" s="165">
        <f t="shared" si="7"/>
        <v>2290523.77</v>
      </c>
      <c r="N748" s="166">
        <f t="shared" si="8"/>
        <v>1326.814554</v>
      </c>
      <c r="O748" s="169">
        <f t="shared" si="9"/>
        <v>236668.4727</v>
      </c>
      <c r="P748" s="171">
        <f t="shared" si="550"/>
        <v>314869.2219</v>
      </c>
      <c r="Q748" s="172"/>
      <c r="R748" s="172"/>
    </row>
    <row r="749" ht="14.25" customHeight="1" outlineLevel="1">
      <c r="A749" s="1"/>
      <c r="B749" s="163"/>
      <c r="C749" s="163"/>
      <c r="D749" s="164"/>
      <c r="E749" s="164">
        <v>646.0</v>
      </c>
      <c r="F749" s="165">
        <f t="shared" si="5"/>
        <v>2449925.909</v>
      </c>
      <c r="G749" s="166">
        <f t="shared" si="2"/>
        <v>1408.707398</v>
      </c>
      <c r="H749" s="167">
        <f t="shared" si="3"/>
        <v>147294.5717</v>
      </c>
      <c r="I749" s="168">
        <f t="shared" si="6"/>
        <v>243011.7762</v>
      </c>
      <c r="J749" s="1"/>
      <c r="K749" s="164"/>
      <c r="L749" s="164">
        <v>646.0</v>
      </c>
      <c r="M749" s="165">
        <f t="shared" si="7"/>
        <v>2302631.337</v>
      </c>
      <c r="N749" s="166">
        <f t="shared" si="8"/>
        <v>1333.776406</v>
      </c>
      <c r="O749" s="169">
        <f t="shared" si="9"/>
        <v>238002.2491</v>
      </c>
      <c r="P749" s="171">
        <f t="shared" si="550"/>
        <v>315357.3913</v>
      </c>
      <c r="Q749" s="172"/>
      <c r="R749" s="172"/>
    </row>
    <row r="750" ht="14.25" customHeight="1" outlineLevel="1">
      <c r="A750" s="1"/>
      <c r="B750" s="163"/>
      <c r="C750" s="163"/>
      <c r="D750" s="164"/>
      <c r="E750" s="164">
        <v>647.0</v>
      </c>
      <c r="F750" s="165">
        <f t="shared" si="5"/>
        <v>2462852.403</v>
      </c>
      <c r="G750" s="166">
        <f t="shared" si="2"/>
        <v>1416.140132</v>
      </c>
      <c r="H750" s="167">
        <f t="shared" si="3"/>
        <v>148052.042</v>
      </c>
      <c r="I750" s="168">
        <f t="shared" si="6"/>
        <v>244427.9163</v>
      </c>
      <c r="J750" s="1"/>
      <c r="K750" s="164"/>
      <c r="L750" s="164">
        <v>647.0</v>
      </c>
      <c r="M750" s="165">
        <f t="shared" si="7"/>
        <v>2314800.361</v>
      </c>
      <c r="N750" s="166">
        <f t="shared" si="8"/>
        <v>1340.773594</v>
      </c>
      <c r="O750" s="169">
        <f t="shared" si="9"/>
        <v>239343.0227</v>
      </c>
      <c r="P750" s="171">
        <f t="shared" si="550"/>
        <v>315845.5606</v>
      </c>
      <c r="Q750" s="172"/>
      <c r="R750" s="172"/>
    </row>
    <row r="751" ht="14.25" customHeight="1" outlineLevel="1">
      <c r="A751" s="1"/>
      <c r="B751" s="163"/>
      <c r="C751" s="163"/>
      <c r="D751" s="164">
        <v>54.0</v>
      </c>
      <c r="E751" s="164">
        <v>648.0</v>
      </c>
      <c r="F751" s="165">
        <f t="shared" si="5"/>
        <v>2475844.511</v>
      </c>
      <c r="G751" s="166">
        <f t="shared" si="2"/>
        <v>1423.610594</v>
      </c>
      <c r="H751" s="167">
        <f t="shared" si="3"/>
        <v>148813.3571</v>
      </c>
      <c r="I751" s="168">
        <f t="shared" si="6"/>
        <v>245851.5269</v>
      </c>
      <c r="J751" s="1"/>
      <c r="K751" s="164">
        <v>54.0</v>
      </c>
      <c r="L751" s="164">
        <v>648.0</v>
      </c>
      <c r="M751" s="165">
        <f t="shared" si="7"/>
        <v>2327031.154</v>
      </c>
      <c r="N751" s="166">
        <f t="shared" si="8"/>
        <v>1347.8063</v>
      </c>
      <c r="O751" s="169">
        <f t="shared" si="9"/>
        <v>240690.829</v>
      </c>
      <c r="P751" s="171">
        <f t="shared" si="550"/>
        <v>316333.73</v>
      </c>
      <c r="Q751" s="172"/>
      <c r="R751" s="172"/>
    </row>
    <row r="752" ht="14.25" customHeight="1" outlineLevel="1">
      <c r="A752" s="1"/>
      <c r="B752" s="163"/>
      <c r="C752" s="163"/>
      <c r="D752" s="164"/>
      <c r="E752" s="164">
        <v>649.0</v>
      </c>
      <c r="F752" s="165">
        <f t="shared" si="5"/>
        <v>2488902.565</v>
      </c>
      <c r="G752" s="166">
        <f t="shared" si="2"/>
        <v>1431.118975</v>
      </c>
      <c r="H752" s="167">
        <f t="shared" si="3"/>
        <v>149578.5365</v>
      </c>
      <c r="I752" s="168">
        <f t="shared" si="6"/>
        <v>247282.6459</v>
      </c>
      <c r="J752" s="1"/>
      <c r="K752" s="164"/>
      <c r="L752" s="164">
        <v>649.0</v>
      </c>
      <c r="M752" s="165">
        <f t="shared" si="7"/>
        <v>2339324.029</v>
      </c>
      <c r="N752" s="166">
        <f t="shared" si="8"/>
        <v>1354.874703</v>
      </c>
      <c r="O752" s="169">
        <f t="shared" si="9"/>
        <v>242045.7037</v>
      </c>
      <c r="P752" s="171">
        <f t="shared" si="550"/>
        <v>316821.8993</v>
      </c>
      <c r="Q752" s="172"/>
      <c r="R752" s="172"/>
    </row>
    <row r="753" ht="14.25" customHeight="1" outlineLevel="1">
      <c r="A753" s="1"/>
      <c r="B753" s="163"/>
      <c r="C753" s="163"/>
      <c r="D753" s="164"/>
      <c r="E753" s="164">
        <v>650.0</v>
      </c>
      <c r="F753" s="165">
        <f t="shared" si="5"/>
        <v>2502026.901</v>
      </c>
      <c r="G753" s="166">
        <f t="shared" si="2"/>
        <v>1438.665468</v>
      </c>
      <c r="H753" s="167">
        <f t="shared" si="3"/>
        <v>150347.5999</v>
      </c>
      <c r="I753" s="168">
        <f t="shared" si="6"/>
        <v>248721.3114</v>
      </c>
      <c r="J753" s="1"/>
      <c r="K753" s="164"/>
      <c r="L753" s="164">
        <v>650.0</v>
      </c>
      <c r="M753" s="165">
        <f t="shared" si="7"/>
        <v>2351679.301</v>
      </c>
      <c r="N753" s="166">
        <f t="shared" si="8"/>
        <v>1361.978985</v>
      </c>
      <c r="O753" s="169">
        <f t="shared" si="9"/>
        <v>243407.6827</v>
      </c>
      <c r="P753" s="171">
        <f t="shared" si="550"/>
        <v>317310.0686</v>
      </c>
      <c r="Q753" s="172"/>
      <c r="R753" s="172"/>
    </row>
    <row r="754" ht="14.25" customHeight="1" outlineLevel="1">
      <c r="A754" s="1"/>
      <c r="B754" s="163"/>
      <c r="C754" s="163"/>
      <c r="D754" s="164"/>
      <c r="E754" s="164">
        <v>651.0</v>
      </c>
      <c r="F754" s="165">
        <f t="shared" si="5"/>
        <v>2515217.855</v>
      </c>
      <c r="G754" s="166">
        <f t="shared" si="2"/>
        <v>1446.250266</v>
      </c>
      <c r="H754" s="167">
        <f t="shared" si="3"/>
        <v>151120.567</v>
      </c>
      <c r="I754" s="168">
        <f t="shared" si="6"/>
        <v>250167.5616</v>
      </c>
      <c r="J754" s="1"/>
      <c r="K754" s="164"/>
      <c r="L754" s="164">
        <v>651.0</v>
      </c>
      <c r="M754" s="165">
        <f t="shared" si="7"/>
        <v>2364097.288</v>
      </c>
      <c r="N754" s="166">
        <f t="shared" si="8"/>
        <v>1369.119327</v>
      </c>
      <c r="O754" s="169">
        <f t="shared" si="9"/>
        <v>244776.802</v>
      </c>
      <c r="P754" s="171">
        <f t="shared" si="550"/>
        <v>317798.238</v>
      </c>
      <c r="Q754" s="172"/>
      <c r="R754" s="172"/>
    </row>
    <row r="755" ht="14.25" customHeight="1" outlineLevel="1">
      <c r="A755" s="1"/>
      <c r="B755" s="163"/>
      <c r="C755" s="163"/>
      <c r="D755" s="164"/>
      <c r="E755" s="164">
        <v>652.0</v>
      </c>
      <c r="F755" s="165">
        <f t="shared" si="5"/>
        <v>2528475.764</v>
      </c>
      <c r="G755" s="166">
        <f t="shared" si="2"/>
        <v>1453.873564</v>
      </c>
      <c r="H755" s="167">
        <f t="shared" si="3"/>
        <v>151897.4577</v>
      </c>
      <c r="I755" s="168">
        <f t="shared" si="6"/>
        <v>251621.4352</v>
      </c>
      <c r="J755" s="1"/>
      <c r="K755" s="164"/>
      <c r="L755" s="164">
        <v>652.0</v>
      </c>
      <c r="M755" s="165">
        <f t="shared" si="7"/>
        <v>2376578.306</v>
      </c>
      <c r="N755" s="166">
        <f t="shared" si="8"/>
        <v>1376.295913</v>
      </c>
      <c r="O755" s="169">
        <f t="shared" si="9"/>
        <v>246153.098</v>
      </c>
      <c r="P755" s="171">
        <f t="shared" si="550"/>
        <v>318286.4073</v>
      </c>
      <c r="Q755" s="172"/>
      <c r="R755" s="172"/>
    </row>
    <row r="756" ht="14.25" customHeight="1" outlineLevel="1">
      <c r="A756" s="1"/>
      <c r="B756" s="163"/>
      <c r="C756" s="163"/>
      <c r="D756" s="164"/>
      <c r="E756" s="164">
        <v>653.0</v>
      </c>
      <c r="F756" s="165">
        <f t="shared" si="5"/>
        <v>2541800.969</v>
      </c>
      <c r="G756" s="166">
        <f t="shared" si="2"/>
        <v>1461.535557</v>
      </c>
      <c r="H756" s="167">
        <f t="shared" si="3"/>
        <v>152678.2917</v>
      </c>
      <c r="I756" s="168">
        <f t="shared" si="6"/>
        <v>253082.9707</v>
      </c>
      <c r="J756" s="1"/>
      <c r="K756" s="164"/>
      <c r="L756" s="164">
        <v>653.0</v>
      </c>
      <c r="M756" s="165">
        <f t="shared" si="7"/>
        <v>2389122.678</v>
      </c>
      <c r="N756" s="166">
        <f t="shared" si="8"/>
        <v>1383.508926</v>
      </c>
      <c r="O756" s="169">
        <f t="shared" si="9"/>
        <v>247536.6069</v>
      </c>
      <c r="P756" s="171">
        <f t="shared" si="550"/>
        <v>318774.5766</v>
      </c>
      <c r="Q756" s="172"/>
      <c r="R756" s="172"/>
    </row>
    <row r="757" ht="14.25" customHeight="1" outlineLevel="1">
      <c r="A757" s="1"/>
      <c r="B757" s="163"/>
      <c r="C757" s="163"/>
      <c r="D757" s="164"/>
      <c r="E757" s="164">
        <v>654.0</v>
      </c>
      <c r="F757" s="165">
        <f t="shared" si="5"/>
        <v>2555193.812</v>
      </c>
      <c r="G757" s="166">
        <f t="shared" si="2"/>
        <v>1469.236442</v>
      </c>
      <c r="H757" s="167">
        <f t="shared" si="3"/>
        <v>153463.0891</v>
      </c>
      <c r="I757" s="168">
        <f t="shared" si="6"/>
        <v>254552.2072</v>
      </c>
      <c r="J757" s="1"/>
      <c r="K757" s="164"/>
      <c r="L757" s="164">
        <v>654.0</v>
      </c>
      <c r="M757" s="165">
        <f t="shared" si="7"/>
        <v>2401730.723</v>
      </c>
      <c r="N757" s="166">
        <f t="shared" si="8"/>
        <v>1390.758552</v>
      </c>
      <c r="O757" s="169">
        <f t="shared" si="9"/>
        <v>248927.3654</v>
      </c>
      <c r="P757" s="171">
        <f t="shared" si="550"/>
        <v>319262.746</v>
      </c>
      <c r="Q757" s="172"/>
      <c r="R757" s="172"/>
    </row>
    <row r="758" ht="14.25" customHeight="1" outlineLevel="1">
      <c r="A758" s="1"/>
      <c r="B758" s="163"/>
      <c r="C758" s="163"/>
      <c r="D758" s="164"/>
      <c r="E758" s="164">
        <v>655.0</v>
      </c>
      <c r="F758" s="165">
        <f t="shared" si="5"/>
        <v>2568654.635</v>
      </c>
      <c r="G758" s="166">
        <f t="shared" si="2"/>
        <v>1476.976415</v>
      </c>
      <c r="H758" s="167">
        <f t="shared" si="3"/>
        <v>154251.8701</v>
      </c>
      <c r="I758" s="168">
        <f t="shared" si="6"/>
        <v>256029.1836</v>
      </c>
      <c r="J758" s="1"/>
      <c r="K758" s="164"/>
      <c r="L758" s="164">
        <v>655.0</v>
      </c>
      <c r="M758" s="165">
        <f t="shared" si="7"/>
        <v>2414402.765</v>
      </c>
      <c r="N758" s="166">
        <f t="shared" si="8"/>
        <v>1398.044976</v>
      </c>
      <c r="O758" s="169">
        <f t="shared" si="9"/>
        <v>250325.4104</v>
      </c>
      <c r="P758" s="171">
        <f t="shared" si="550"/>
        <v>319750.9153</v>
      </c>
      <c r="Q758" s="172"/>
      <c r="R758" s="172"/>
    </row>
    <row r="759" ht="14.25" customHeight="1" outlineLevel="1">
      <c r="A759" s="1"/>
      <c r="B759" s="163"/>
      <c r="C759" s="163"/>
      <c r="D759" s="164"/>
      <c r="E759" s="164">
        <v>656.0</v>
      </c>
      <c r="F759" s="165">
        <f t="shared" si="5"/>
        <v>2582183.784</v>
      </c>
      <c r="G759" s="166">
        <f t="shared" si="2"/>
        <v>1484.755676</v>
      </c>
      <c r="H759" s="167">
        <f t="shared" si="3"/>
        <v>155044.6549</v>
      </c>
      <c r="I759" s="168">
        <f t="shared" si="6"/>
        <v>257513.9393</v>
      </c>
      <c r="J759" s="1"/>
      <c r="K759" s="164"/>
      <c r="L759" s="164">
        <v>656.0</v>
      </c>
      <c r="M759" s="165">
        <f t="shared" si="7"/>
        <v>2427139.129</v>
      </c>
      <c r="N759" s="166">
        <f t="shared" si="8"/>
        <v>1405.368386</v>
      </c>
      <c r="O759" s="169">
        <f t="shared" si="9"/>
        <v>251730.7788</v>
      </c>
      <c r="P759" s="171">
        <f t="shared" si="550"/>
        <v>320239.0846</v>
      </c>
      <c r="Q759" s="172"/>
      <c r="R759" s="172"/>
    </row>
    <row r="760" ht="14.25" customHeight="1" outlineLevel="1">
      <c r="A760" s="1"/>
      <c r="B760" s="163"/>
      <c r="C760" s="163"/>
      <c r="D760" s="164"/>
      <c r="E760" s="164">
        <v>657.0</v>
      </c>
      <c r="F760" s="165">
        <f t="shared" si="5"/>
        <v>2595781.605</v>
      </c>
      <c r="G760" s="166">
        <f t="shared" si="2"/>
        <v>1492.574423</v>
      </c>
      <c r="H760" s="167">
        <f t="shared" si="3"/>
        <v>155841.4638</v>
      </c>
      <c r="I760" s="168">
        <f t="shared" si="6"/>
        <v>259006.5137</v>
      </c>
      <c r="J760" s="1"/>
      <c r="K760" s="164"/>
      <c r="L760" s="164">
        <v>657.0</v>
      </c>
      <c r="M760" s="165">
        <f t="shared" si="7"/>
        <v>2439940.141</v>
      </c>
      <c r="N760" s="166">
        <f t="shared" si="8"/>
        <v>1412.728968</v>
      </c>
      <c r="O760" s="169">
        <f t="shared" si="9"/>
        <v>253143.5078</v>
      </c>
      <c r="P760" s="171">
        <f t="shared" si="550"/>
        <v>320727.254</v>
      </c>
      <c r="Q760" s="172"/>
      <c r="R760" s="172"/>
    </row>
    <row r="761" ht="14.25" customHeight="1" outlineLevel="1">
      <c r="A761" s="1"/>
      <c r="B761" s="163"/>
      <c r="C761" s="163"/>
      <c r="D761" s="164"/>
      <c r="E761" s="164">
        <v>658.0</v>
      </c>
      <c r="F761" s="165">
        <f t="shared" si="5"/>
        <v>2609448.447</v>
      </c>
      <c r="G761" s="166">
        <f t="shared" si="2"/>
        <v>1500.432857</v>
      </c>
      <c r="H761" s="167">
        <f t="shared" si="3"/>
        <v>156642.3171</v>
      </c>
      <c r="I761" s="168">
        <f t="shared" si="6"/>
        <v>260506.9466</v>
      </c>
      <c r="J761" s="1"/>
      <c r="K761" s="164"/>
      <c r="L761" s="164">
        <v>658.0</v>
      </c>
      <c r="M761" s="165">
        <f t="shared" si="7"/>
        <v>2452806.13</v>
      </c>
      <c r="N761" s="166">
        <f t="shared" si="8"/>
        <v>1420.126912</v>
      </c>
      <c r="O761" s="169">
        <f t="shared" si="9"/>
        <v>254563.6347</v>
      </c>
      <c r="P761" s="171">
        <f t="shared" si="550"/>
        <v>321215.4233</v>
      </c>
      <c r="Q761" s="172"/>
      <c r="R761" s="172"/>
    </row>
    <row r="762" ht="14.25" customHeight="1" outlineLevel="1">
      <c r="A762" s="1"/>
      <c r="B762" s="163"/>
      <c r="C762" s="163"/>
      <c r="D762" s="164"/>
      <c r="E762" s="164">
        <v>659.0</v>
      </c>
      <c r="F762" s="165">
        <f t="shared" si="5"/>
        <v>2623184.661</v>
      </c>
      <c r="G762" s="166">
        <f t="shared" si="2"/>
        <v>1508.33118</v>
      </c>
      <c r="H762" s="167">
        <f t="shared" si="3"/>
        <v>157447.2356</v>
      </c>
      <c r="I762" s="168">
        <f t="shared" si="6"/>
        <v>262015.2777</v>
      </c>
      <c r="J762" s="1"/>
      <c r="K762" s="164"/>
      <c r="L762" s="164">
        <v>659.0</v>
      </c>
      <c r="M762" s="165">
        <f t="shared" si="7"/>
        <v>2465737.426</v>
      </c>
      <c r="N762" s="166">
        <f t="shared" si="8"/>
        <v>1427.562406</v>
      </c>
      <c r="O762" s="169">
        <f t="shared" si="9"/>
        <v>255991.1971</v>
      </c>
      <c r="P762" s="171">
        <f t="shared" si="550"/>
        <v>321703.5927</v>
      </c>
      <c r="Q762" s="172"/>
      <c r="R762" s="172"/>
    </row>
    <row r="763" ht="14.25" customHeight="1" outlineLevel="1">
      <c r="A763" s="1"/>
      <c r="B763" s="163"/>
      <c r="C763" s="163"/>
      <c r="D763" s="164">
        <v>55.0</v>
      </c>
      <c r="E763" s="164">
        <v>660.0</v>
      </c>
      <c r="F763" s="165">
        <f t="shared" si="5"/>
        <v>2636990.599</v>
      </c>
      <c r="G763" s="166">
        <f t="shared" si="2"/>
        <v>1516.269594</v>
      </c>
      <c r="H763" s="167">
        <f t="shared" si="3"/>
        <v>158256.2397</v>
      </c>
      <c r="I763" s="168">
        <f t="shared" si="6"/>
        <v>263531.5473</v>
      </c>
      <c r="J763" s="1"/>
      <c r="K763" s="164">
        <v>55.0</v>
      </c>
      <c r="L763" s="164">
        <v>660.0</v>
      </c>
      <c r="M763" s="165">
        <f t="shared" si="7"/>
        <v>2478734.359</v>
      </c>
      <c r="N763" s="166">
        <f t="shared" si="8"/>
        <v>1435.035643</v>
      </c>
      <c r="O763" s="169">
        <f t="shared" si="9"/>
        <v>257426.2327</v>
      </c>
      <c r="P763" s="171">
        <f t="shared" si="550"/>
        <v>322191.762</v>
      </c>
      <c r="Q763" s="172"/>
      <c r="R763" s="172"/>
    </row>
    <row r="764" ht="14.25" customHeight="1" outlineLevel="1">
      <c r="A764" s="1"/>
      <c r="B764" s="163"/>
      <c r="C764" s="163"/>
      <c r="D764" s="164"/>
      <c r="E764" s="164">
        <v>661.0</v>
      </c>
      <c r="F764" s="165">
        <f t="shared" si="5"/>
        <v>2650866.614</v>
      </c>
      <c r="G764" s="166">
        <f t="shared" si="2"/>
        <v>1524.248303</v>
      </c>
      <c r="H764" s="167">
        <f t="shared" si="3"/>
        <v>159069.3502</v>
      </c>
      <c r="I764" s="168">
        <f t="shared" si="6"/>
        <v>265055.7956</v>
      </c>
      <c r="J764" s="1"/>
      <c r="K764" s="164"/>
      <c r="L764" s="164">
        <v>661.0</v>
      </c>
      <c r="M764" s="165">
        <f t="shared" si="7"/>
        <v>2491797.263</v>
      </c>
      <c r="N764" s="166">
        <f t="shared" si="8"/>
        <v>1442.546813</v>
      </c>
      <c r="O764" s="169">
        <f t="shared" si="9"/>
        <v>258868.7795</v>
      </c>
      <c r="P764" s="171">
        <f t="shared" si="550"/>
        <v>322679.9313</v>
      </c>
      <c r="Q764" s="172"/>
      <c r="R764" s="172"/>
    </row>
    <row r="765" ht="14.25" customHeight="1" outlineLevel="1">
      <c r="A765" s="1"/>
      <c r="B765" s="163"/>
      <c r="C765" s="163"/>
      <c r="D765" s="164"/>
      <c r="E765" s="164">
        <v>662.0</v>
      </c>
      <c r="F765" s="165">
        <f t="shared" si="5"/>
        <v>2664813.062</v>
      </c>
      <c r="G765" s="166">
        <f t="shared" si="2"/>
        <v>1532.267511</v>
      </c>
      <c r="H765" s="167">
        <f t="shared" si="3"/>
        <v>159886.588</v>
      </c>
      <c r="I765" s="168">
        <f t="shared" si="6"/>
        <v>266588.0631</v>
      </c>
      <c r="J765" s="1"/>
      <c r="K765" s="164"/>
      <c r="L765" s="164">
        <v>662.0</v>
      </c>
      <c r="M765" s="165">
        <f t="shared" si="7"/>
        <v>2504926.474</v>
      </c>
      <c r="N765" s="166">
        <f t="shared" si="8"/>
        <v>1450.096109</v>
      </c>
      <c r="O765" s="169">
        <f t="shared" si="9"/>
        <v>260318.8756</v>
      </c>
      <c r="P765" s="171">
        <f t="shared" si="550"/>
        <v>323168.1007</v>
      </c>
      <c r="Q765" s="172"/>
      <c r="R765" s="172"/>
    </row>
    <row r="766" ht="14.25" customHeight="1" outlineLevel="1">
      <c r="A766" s="1"/>
      <c r="B766" s="163"/>
      <c r="C766" s="163"/>
      <c r="D766" s="164"/>
      <c r="E766" s="164">
        <v>663.0</v>
      </c>
      <c r="F766" s="165">
        <f t="shared" si="5"/>
        <v>2678830.301</v>
      </c>
      <c r="G766" s="166">
        <f t="shared" si="2"/>
        <v>1540.327423</v>
      </c>
      <c r="H766" s="167">
        <f t="shared" si="3"/>
        <v>160707.974</v>
      </c>
      <c r="I766" s="168">
        <f t="shared" si="6"/>
        <v>268128.3906</v>
      </c>
      <c r="J766" s="1"/>
      <c r="K766" s="164"/>
      <c r="L766" s="164">
        <v>663.0</v>
      </c>
      <c r="M766" s="165">
        <f t="shared" si="7"/>
        <v>2518122.327</v>
      </c>
      <c r="N766" s="166">
        <f t="shared" si="8"/>
        <v>1457.683725</v>
      </c>
      <c r="O766" s="169">
        <f t="shared" si="9"/>
        <v>261776.5594</v>
      </c>
      <c r="P766" s="171">
        <f t="shared" si="550"/>
        <v>323656.27</v>
      </c>
      <c r="Q766" s="172"/>
      <c r="R766" s="172"/>
    </row>
    <row r="767" ht="14.25" customHeight="1" outlineLevel="1">
      <c r="A767" s="1"/>
      <c r="B767" s="163"/>
      <c r="C767" s="163"/>
      <c r="D767" s="164"/>
      <c r="E767" s="164">
        <v>664.0</v>
      </c>
      <c r="F767" s="165">
        <f t="shared" si="5"/>
        <v>2692918.689</v>
      </c>
      <c r="G767" s="166">
        <f t="shared" si="2"/>
        <v>1548.428246</v>
      </c>
      <c r="H767" s="167">
        <f t="shared" si="3"/>
        <v>161533.5293</v>
      </c>
      <c r="I767" s="168">
        <f t="shared" si="6"/>
        <v>269676.8188</v>
      </c>
      <c r="J767" s="1"/>
      <c r="K767" s="164"/>
      <c r="L767" s="164">
        <v>664.0</v>
      </c>
      <c r="M767" s="165">
        <f t="shared" si="7"/>
        <v>2531385.16</v>
      </c>
      <c r="N767" s="166">
        <f t="shared" si="8"/>
        <v>1465.309854</v>
      </c>
      <c r="O767" s="169">
        <f t="shared" si="9"/>
        <v>263241.8692</v>
      </c>
      <c r="P767" s="171">
        <f t="shared" si="550"/>
        <v>324144.4393</v>
      </c>
      <c r="Q767" s="172"/>
      <c r="R767" s="172"/>
    </row>
    <row r="768" ht="14.25" customHeight="1" outlineLevel="1">
      <c r="A768" s="1"/>
      <c r="B768" s="163"/>
      <c r="C768" s="163"/>
      <c r="D768" s="164"/>
      <c r="E768" s="164">
        <v>665.0</v>
      </c>
      <c r="F768" s="165">
        <f t="shared" si="5"/>
        <v>2707078.589</v>
      </c>
      <c r="G768" s="166">
        <f t="shared" si="2"/>
        <v>1556.570189</v>
      </c>
      <c r="H768" s="167">
        <f t="shared" si="3"/>
        <v>162363.275</v>
      </c>
      <c r="I768" s="168">
        <f t="shared" si="6"/>
        <v>271233.389</v>
      </c>
      <c r="J768" s="1"/>
      <c r="K768" s="164"/>
      <c r="L768" s="164">
        <v>665.0</v>
      </c>
      <c r="M768" s="165">
        <f t="shared" si="7"/>
        <v>2544715.314</v>
      </c>
      <c r="N768" s="166">
        <f t="shared" si="8"/>
        <v>1472.974693</v>
      </c>
      <c r="O768" s="169">
        <f t="shared" si="9"/>
        <v>264714.8439</v>
      </c>
      <c r="P768" s="171">
        <f t="shared" si="550"/>
        <v>324632.6087</v>
      </c>
      <c r="Q768" s="172"/>
      <c r="R768" s="172"/>
    </row>
    <row r="769" ht="14.25" customHeight="1" outlineLevel="1">
      <c r="A769" s="1"/>
      <c r="B769" s="163"/>
      <c r="C769" s="163"/>
      <c r="D769" s="164"/>
      <c r="E769" s="164">
        <v>666.0</v>
      </c>
      <c r="F769" s="165">
        <f t="shared" si="5"/>
        <v>2721310.364</v>
      </c>
      <c r="G769" s="166">
        <f t="shared" si="2"/>
        <v>1564.753459</v>
      </c>
      <c r="H769" s="167">
        <f t="shared" si="3"/>
        <v>163197.2324</v>
      </c>
      <c r="I769" s="168">
        <f t="shared" si="6"/>
        <v>272798.1425</v>
      </c>
      <c r="J769" s="1"/>
      <c r="K769" s="164"/>
      <c r="L769" s="164">
        <v>666.0</v>
      </c>
      <c r="M769" s="165">
        <f t="shared" si="7"/>
        <v>2558113.131</v>
      </c>
      <c r="N769" s="166">
        <f t="shared" si="8"/>
        <v>1480.678437</v>
      </c>
      <c r="O769" s="169">
        <f t="shared" si="9"/>
        <v>266195.5224</v>
      </c>
      <c r="P769" s="171">
        <f t="shared" si="550"/>
        <v>325120.778</v>
      </c>
      <c r="Q769" s="172"/>
      <c r="R769" s="172"/>
    </row>
    <row r="770" ht="14.25" customHeight="1" outlineLevel="1">
      <c r="A770" s="1"/>
      <c r="B770" s="163"/>
      <c r="C770" s="163"/>
      <c r="D770" s="164"/>
      <c r="E770" s="164">
        <v>667.0</v>
      </c>
      <c r="F770" s="165">
        <f t="shared" si="5"/>
        <v>2735614.377</v>
      </c>
      <c r="G770" s="166">
        <f t="shared" si="2"/>
        <v>1572.978267</v>
      </c>
      <c r="H770" s="167">
        <f t="shared" si="3"/>
        <v>164035.4229</v>
      </c>
      <c r="I770" s="168">
        <f t="shared" si="6"/>
        <v>274371.1207</v>
      </c>
      <c r="J770" s="1"/>
      <c r="K770" s="164"/>
      <c r="L770" s="164">
        <v>667.0</v>
      </c>
      <c r="M770" s="165">
        <f t="shared" si="7"/>
        <v>2571578.954</v>
      </c>
      <c r="N770" s="166">
        <f t="shared" si="8"/>
        <v>1488.421285</v>
      </c>
      <c r="O770" s="169">
        <f t="shared" si="9"/>
        <v>267683.9436</v>
      </c>
      <c r="P770" s="171">
        <f t="shared" si="550"/>
        <v>325608.9473</v>
      </c>
      <c r="Q770" s="172"/>
      <c r="R770" s="172"/>
    </row>
    <row r="771" ht="14.25" customHeight="1" outlineLevel="1">
      <c r="A771" s="1"/>
      <c r="B771" s="163"/>
      <c r="C771" s="163"/>
      <c r="D771" s="164"/>
      <c r="E771" s="164">
        <v>668.0</v>
      </c>
      <c r="F771" s="165">
        <f t="shared" si="5"/>
        <v>2749990.996</v>
      </c>
      <c r="G771" s="166">
        <f t="shared" si="2"/>
        <v>1581.244822</v>
      </c>
      <c r="H771" s="167">
        <f t="shared" si="3"/>
        <v>164877.8679</v>
      </c>
      <c r="I771" s="168">
        <f t="shared" si="6"/>
        <v>275952.3655</v>
      </c>
      <c r="J771" s="1"/>
      <c r="K771" s="164"/>
      <c r="L771" s="164">
        <v>668.0</v>
      </c>
      <c r="M771" s="165">
        <f t="shared" si="7"/>
        <v>2585113.128</v>
      </c>
      <c r="N771" s="166">
        <f t="shared" si="8"/>
        <v>1496.203435</v>
      </c>
      <c r="O771" s="169">
        <f t="shared" si="9"/>
        <v>269180.1471</v>
      </c>
      <c r="P771" s="171">
        <f t="shared" si="550"/>
        <v>326097.1167</v>
      </c>
      <c r="Q771" s="172"/>
      <c r="R771" s="172"/>
    </row>
    <row r="772" ht="14.25" customHeight="1" outlineLevel="1">
      <c r="A772" s="1"/>
      <c r="B772" s="163"/>
      <c r="C772" s="163"/>
      <c r="D772" s="164"/>
      <c r="E772" s="164">
        <v>669.0</v>
      </c>
      <c r="F772" s="165">
        <f t="shared" si="5"/>
        <v>2764440.589</v>
      </c>
      <c r="G772" s="166">
        <f t="shared" si="2"/>
        <v>1589.553338</v>
      </c>
      <c r="H772" s="167">
        <f t="shared" si="3"/>
        <v>165724.5891</v>
      </c>
      <c r="I772" s="168">
        <f t="shared" si="6"/>
        <v>277541.9189</v>
      </c>
      <c r="J772" s="1"/>
      <c r="K772" s="164"/>
      <c r="L772" s="164">
        <v>669.0</v>
      </c>
      <c r="M772" s="165">
        <f t="shared" si="7"/>
        <v>2598715.999</v>
      </c>
      <c r="N772" s="166">
        <f t="shared" si="8"/>
        <v>1504.025086</v>
      </c>
      <c r="O772" s="169">
        <f t="shared" si="9"/>
        <v>270684.1722</v>
      </c>
      <c r="P772" s="171">
        <f t="shared" si="550"/>
        <v>326585.286</v>
      </c>
      <c r="Q772" s="172"/>
      <c r="R772" s="172"/>
    </row>
    <row r="773" ht="14.25" customHeight="1" outlineLevel="1">
      <c r="A773" s="1"/>
      <c r="B773" s="163"/>
      <c r="C773" s="163"/>
      <c r="D773" s="164"/>
      <c r="E773" s="164">
        <v>670.0</v>
      </c>
      <c r="F773" s="165">
        <f t="shared" si="5"/>
        <v>2778963.526</v>
      </c>
      <c r="G773" s="166">
        <f t="shared" si="2"/>
        <v>1597.904028</v>
      </c>
      <c r="H773" s="167">
        <f t="shared" si="3"/>
        <v>166575.6082</v>
      </c>
      <c r="I773" s="168">
        <f t="shared" si="6"/>
        <v>279139.8229</v>
      </c>
      <c r="J773" s="1"/>
      <c r="K773" s="164"/>
      <c r="L773" s="164">
        <v>670.0</v>
      </c>
      <c r="M773" s="165">
        <f t="shared" si="7"/>
        <v>2612387.918</v>
      </c>
      <c r="N773" s="166">
        <f t="shared" si="8"/>
        <v>1511.88644</v>
      </c>
      <c r="O773" s="169">
        <f t="shared" si="9"/>
        <v>272196.0586</v>
      </c>
      <c r="P773" s="171">
        <f t="shared" si="550"/>
        <v>327073.4554</v>
      </c>
      <c r="Q773" s="172"/>
      <c r="R773" s="172"/>
    </row>
    <row r="774" ht="14.25" customHeight="1" outlineLevel="1">
      <c r="A774" s="1"/>
      <c r="B774" s="163"/>
      <c r="C774" s="163"/>
      <c r="D774" s="164"/>
      <c r="E774" s="164">
        <v>671.0</v>
      </c>
      <c r="F774" s="165">
        <f t="shared" si="5"/>
        <v>2793560.181</v>
      </c>
      <c r="G774" s="166">
        <f t="shared" si="2"/>
        <v>1606.297104</v>
      </c>
      <c r="H774" s="167">
        <f t="shared" si="3"/>
        <v>167430.947</v>
      </c>
      <c r="I774" s="168">
        <f t="shared" si="6"/>
        <v>280746.12</v>
      </c>
      <c r="J774" s="1"/>
      <c r="K774" s="164"/>
      <c r="L774" s="164">
        <v>671.0</v>
      </c>
      <c r="M774" s="165">
        <f t="shared" si="7"/>
        <v>2626129.234</v>
      </c>
      <c r="N774" s="166">
        <f t="shared" si="8"/>
        <v>1519.787696</v>
      </c>
      <c r="O774" s="169">
        <f t="shared" si="9"/>
        <v>273715.8463</v>
      </c>
      <c r="P774" s="171">
        <f t="shared" si="550"/>
        <v>327561.6247</v>
      </c>
      <c r="Q774" s="172"/>
      <c r="R774" s="172"/>
    </row>
    <row r="775" ht="14.25" customHeight="1" outlineLevel="1">
      <c r="A775" s="1"/>
      <c r="B775" s="163"/>
      <c r="C775" s="163"/>
      <c r="D775" s="164">
        <v>56.0</v>
      </c>
      <c r="E775" s="164">
        <v>672.0</v>
      </c>
      <c r="F775" s="165">
        <f t="shared" si="5"/>
        <v>2808230.926</v>
      </c>
      <c r="G775" s="166">
        <f t="shared" si="2"/>
        <v>1614.732783</v>
      </c>
      <c r="H775" s="167">
        <f t="shared" si="3"/>
        <v>168290.6274</v>
      </c>
      <c r="I775" s="168">
        <f t="shared" si="6"/>
        <v>282360.8528</v>
      </c>
      <c r="J775" s="1"/>
      <c r="K775" s="164">
        <v>56.0</v>
      </c>
      <c r="L775" s="164">
        <v>672.0</v>
      </c>
      <c r="M775" s="165">
        <f t="shared" si="7"/>
        <v>2639940.299</v>
      </c>
      <c r="N775" s="166">
        <f t="shared" si="8"/>
        <v>1527.729059</v>
      </c>
      <c r="O775" s="169">
        <f t="shared" si="9"/>
        <v>275243.5754</v>
      </c>
      <c r="P775" s="171">
        <f t="shared" si="550"/>
        <v>328049.794</v>
      </c>
      <c r="Q775" s="172"/>
      <c r="R775" s="172"/>
    </row>
    <row r="776" ht="14.25" customHeight="1" outlineLevel="1">
      <c r="A776" s="1"/>
      <c r="B776" s="163"/>
      <c r="C776" s="163"/>
      <c r="D776" s="164"/>
      <c r="E776" s="164">
        <v>673.0</v>
      </c>
      <c r="F776" s="165">
        <f t="shared" si="5"/>
        <v>2822976.139</v>
      </c>
      <c r="G776" s="166">
        <f t="shared" si="2"/>
        <v>1623.21128</v>
      </c>
      <c r="H776" s="167">
        <f t="shared" si="3"/>
        <v>169154.6714</v>
      </c>
      <c r="I776" s="168">
        <f t="shared" si="6"/>
        <v>283984.0641</v>
      </c>
      <c r="J776" s="1"/>
      <c r="K776" s="164"/>
      <c r="L776" s="164">
        <v>673.0</v>
      </c>
      <c r="M776" s="165">
        <f t="shared" si="7"/>
        <v>2653821.468</v>
      </c>
      <c r="N776" s="166">
        <f t="shared" si="8"/>
        <v>1535.710731</v>
      </c>
      <c r="O776" s="169">
        <f t="shared" si="9"/>
        <v>276779.2861</v>
      </c>
      <c r="P776" s="171">
        <f t="shared" si="550"/>
        <v>328537.9634</v>
      </c>
      <c r="Q776" s="172"/>
      <c r="R776" s="172"/>
    </row>
    <row r="777" ht="14.25" customHeight="1" outlineLevel="1">
      <c r="A777" s="1"/>
      <c r="B777" s="163"/>
      <c r="C777" s="163"/>
      <c r="D777" s="164"/>
      <c r="E777" s="164">
        <v>674.0</v>
      </c>
      <c r="F777" s="165">
        <f t="shared" si="5"/>
        <v>2837796.197</v>
      </c>
      <c r="G777" s="166">
        <f t="shared" si="2"/>
        <v>1631.732813</v>
      </c>
      <c r="H777" s="167">
        <f t="shared" si="3"/>
        <v>170023.1012</v>
      </c>
      <c r="I777" s="168">
        <f t="shared" si="6"/>
        <v>285615.7969</v>
      </c>
      <c r="J777" s="1"/>
      <c r="K777" s="164"/>
      <c r="L777" s="164">
        <v>674.0</v>
      </c>
      <c r="M777" s="165">
        <f t="shared" si="7"/>
        <v>2667773.096</v>
      </c>
      <c r="N777" s="166">
        <f t="shared" si="8"/>
        <v>1543.732917</v>
      </c>
      <c r="O777" s="169">
        <f t="shared" si="9"/>
        <v>278323.019</v>
      </c>
      <c r="P777" s="171">
        <f t="shared" si="550"/>
        <v>329026.1327</v>
      </c>
      <c r="Q777" s="172"/>
      <c r="R777" s="172"/>
    </row>
    <row r="778" ht="14.25" customHeight="1" outlineLevel="1">
      <c r="A778" s="1"/>
      <c r="B778" s="163"/>
      <c r="C778" s="163"/>
      <c r="D778" s="164"/>
      <c r="E778" s="164">
        <v>675.0</v>
      </c>
      <c r="F778" s="165">
        <f t="shared" si="5"/>
        <v>2852691.48</v>
      </c>
      <c r="G778" s="166">
        <f t="shared" si="2"/>
        <v>1640.297601</v>
      </c>
      <c r="H778" s="167">
        <f t="shared" si="3"/>
        <v>170895.9391</v>
      </c>
      <c r="I778" s="168">
        <f t="shared" si="6"/>
        <v>287256.0945</v>
      </c>
      <c r="J778" s="1"/>
      <c r="K778" s="164"/>
      <c r="L778" s="164">
        <v>675.0</v>
      </c>
      <c r="M778" s="165">
        <f t="shared" si="7"/>
        <v>2681795.541</v>
      </c>
      <c r="N778" s="166">
        <f t="shared" si="8"/>
        <v>1551.795823</v>
      </c>
      <c r="O778" s="169">
        <f t="shared" si="9"/>
        <v>279874.8148</v>
      </c>
      <c r="P778" s="171">
        <f t="shared" si="550"/>
        <v>329514.302</v>
      </c>
      <c r="Q778" s="172"/>
      <c r="R778" s="172"/>
    </row>
    <row r="779" ht="14.25" customHeight="1" outlineLevel="1">
      <c r="A779" s="1"/>
      <c r="B779" s="163"/>
      <c r="C779" s="163"/>
      <c r="D779" s="164"/>
      <c r="E779" s="164">
        <v>676.0</v>
      </c>
      <c r="F779" s="165">
        <f t="shared" si="5"/>
        <v>2867662.37</v>
      </c>
      <c r="G779" s="166">
        <f t="shared" si="2"/>
        <v>1648.905863</v>
      </c>
      <c r="H779" s="167">
        <f t="shared" si="3"/>
        <v>171773.2074</v>
      </c>
      <c r="I779" s="168">
        <f t="shared" si="6"/>
        <v>288905.0004</v>
      </c>
      <c r="J779" s="1"/>
      <c r="K779" s="164"/>
      <c r="L779" s="164">
        <v>676.0</v>
      </c>
      <c r="M779" s="165">
        <f t="shared" si="7"/>
        <v>2695889.162</v>
      </c>
      <c r="N779" s="166">
        <f t="shared" si="8"/>
        <v>1559.899655</v>
      </c>
      <c r="O779" s="169">
        <f t="shared" si="9"/>
        <v>281434.7145</v>
      </c>
      <c r="P779" s="171">
        <f t="shared" si="550"/>
        <v>330002.4714</v>
      </c>
      <c r="Q779" s="172"/>
      <c r="R779" s="172"/>
    </row>
    <row r="780" ht="14.25" customHeight="1" outlineLevel="1">
      <c r="A780" s="1"/>
      <c r="B780" s="163"/>
      <c r="C780" s="163"/>
      <c r="D780" s="164"/>
      <c r="E780" s="164">
        <v>677.0</v>
      </c>
      <c r="F780" s="165">
        <f t="shared" si="5"/>
        <v>2882709.25</v>
      </c>
      <c r="G780" s="166">
        <f t="shared" si="2"/>
        <v>1657.557819</v>
      </c>
      <c r="H780" s="167">
        <f t="shared" si="3"/>
        <v>172654.9286</v>
      </c>
      <c r="I780" s="168">
        <f t="shared" si="6"/>
        <v>290562.5582</v>
      </c>
      <c r="J780" s="1"/>
      <c r="K780" s="164"/>
      <c r="L780" s="164">
        <v>677.0</v>
      </c>
      <c r="M780" s="165">
        <f t="shared" si="7"/>
        <v>2710054.322</v>
      </c>
      <c r="N780" s="166">
        <f t="shared" si="8"/>
        <v>1568.044622</v>
      </c>
      <c r="O780" s="169">
        <f t="shared" si="9"/>
        <v>283002.7591</v>
      </c>
      <c r="P780" s="171">
        <f t="shared" si="550"/>
        <v>330490.6407</v>
      </c>
      <c r="Q780" s="172"/>
      <c r="R780" s="172"/>
    </row>
    <row r="781" ht="14.25" customHeight="1" outlineLevel="1">
      <c r="A781" s="1"/>
      <c r="B781" s="163"/>
      <c r="C781" s="163"/>
      <c r="D781" s="164"/>
      <c r="E781" s="164">
        <v>678.0</v>
      </c>
      <c r="F781" s="165">
        <f t="shared" si="5"/>
        <v>2897832.507</v>
      </c>
      <c r="G781" s="166">
        <f t="shared" si="2"/>
        <v>1666.253692</v>
      </c>
      <c r="H781" s="167">
        <f t="shared" si="3"/>
        <v>173541.1253</v>
      </c>
      <c r="I781" s="168">
        <f t="shared" si="6"/>
        <v>292228.8119</v>
      </c>
      <c r="J781" s="1"/>
      <c r="K781" s="164"/>
      <c r="L781" s="164">
        <v>678.0</v>
      </c>
      <c r="M781" s="165">
        <f t="shared" si="7"/>
        <v>2724291.382</v>
      </c>
      <c r="N781" s="166">
        <f t="shared" si="8"/>
        <v>1576.230931</v>
      </c>
      <c r="O781" s="169">
        <f t="shared" si="9"/>
        <v>284578.99</v>
      </c>
      <c r="P781" s="171">
        <f t="shared" si="550"/>
        <v>330978.81</v>
      </c>
      <c r="Q781" s="172"/>
      <c r="R781" s="172"/>
    </row>
    <row r="782" ht="14.25" customHeight="1" outlineLevel="1">
      <c r="A782" s="1"/>
      <c r="B782" s="163"/>
      <c r="C782" s="163"/>
      <c r="D782" s="164"/>
      <c r="E782" s="164">
        <v>679.0</v>
      </c>
      <c r="F782" s="165">
        <f t="shared" si="5"/>
        <v>2913032.528</v>
      </c>
      <c r="G782" s="166">
        <f t="shared" si="2"/>
        <v>1674.993704</v>
      </c>
      <c r="H782" s="167">
        <f t="shared" si="3"/>
        <v>174431.8203</v>
      </c>
      <c r="I782" s="168">
        <f t="shared" si="6"/>
        <v>293903.8056</v>
      </c>
      <c r="J782" s="1"/>
      <c r="K782" s="164"/>
      <c r="L782" s="164">
        <v>679.0</v>
      </c>
      <c r="M782" s="165">
        <f t="shared" si="7"/>
        <v>2738600.708</v>
      </c>
      <c r="N782" s="166">
        <f t="shared" si="8"/>
        <v>1584.458794</v>
      </c>
      <c r="O782" s="169">
        <f t="shared" si="9"/>
        <v>286163.4488</v>
      </c>
      <c r="P782" s="171">
        <f t="shared" si="550"/>
        <v>331466.9794</v>
      </c>
      <c r="Q782" s="172"/>
      <c r="R782" s="172"/>
    </row>
    <row r="783" ht="14.25" customHeight="1" outlineLevel="1">
      <c r="A783" s="1"/>
      <c r="B783" s="163"/>
      <c r="C783" s="163"/>
      <c r="D783" s="164"/>
      <c r="E783" s="164">
        <v>680.0</v>
      </c>
      <c r="F783" s="165">
        <f t="shared" si="5"/>
        <v>2928309.702</v>
      </c>
      <c r="G783" s="166">
        <f t="shared" si="2"/>
        <v>1683.778079</v>
      </c>
      <c r="H783" s="167">
        <f t="shared" si="3"/>
        <v>175327.0364</v>
      </c>
      <c r="I783" s="168">
        <f t="shared" si="6"/>
        <v>295587.5836</v>
      </c>
      <c r="J783" s="1"/>
      <c r="K783" s="164"/>
      <c r="L783" s="164">
        <v>680.0</v>
      </c>
      <c r="M783" s="165">
        <f t="shared" si="7"/>
        <v>2752982.666</v>
      </c>
      <c r="N783" s="166">
        <f t="shared" si="8"/>
        <v>1592.72842</v>
      </c>
      <c r="O783" s="169">
        <f t="shared" si="9"/>
        <v>287756.1772</v>
      </c>
      <c r="P783" s="171">
        <f t="shared" si="550"/>
        <v>331955.1487</v>
      </c>
      <c r="Q783" s="172"/>
      <c r="R783" s="172"/>
    </row>
    <row r="784" ht="14.25" customHeight="1" outlineLevel="1">
      <c r="A784" s="1"/>
      <c r="B784" s="163"/>
      <c r="C784" s="163"/>
      <c r="D784" s="164"/>
      <c r="E784" s="164">
        <v>681.0</v>
      </c>
      <c r="F784" s="165">
        <f t="shared" si="5"/>
        <v>2943664.422</v>
      </c>
      <c r="G784" s="166">
        <f t="shared" si="2"/>
        <v>1692.607043</v>
      </c>
      <c r="H784" s="167">
        <f t="shared" si="3"/>
        <v>176226.7965</v>
      </c>
      <c r="I784" s="168">
        <f t="shared" si="6"/>
        <v>297280.1907</v>
      </c>
      <c r="J784" s="1"/>
      <c r="K784" s="164"/>
      <c r="L784" s="164">
        <v>681.0</v>
      </c>
      <c r="M784" s="165">
        <f t="shared" si="7"/>
        <v>2767437.626</v>
      </c>
      <c r="N784" s="166">
        <f t="shared" si="8"/>
        <v>1601.040022</v>
      </c>
      <c r="O784" s="169">
        <f t="shared" si="9"/>
        <v>289357.2173</v>
      </c>
      <c r="P784" s="171">
        <f t="shared" si="550"/>
        <v>332443.3181</v>
      </c>
      <c r="Q784" s="172"/>
      <c r="R784" s="172"/>
    </row>
    <row r="785" ht="14.25" customHeight="1" outlineLevel="1">
      <c r="A785" s="1"/>
      <c r="B785" s="163"/>
      <c r="C785" s="163"/>
      <c r="D785" s="164"/>
      <c r="E785" s="164">
        <v>682.0</v>
      </c>
      <c r="F785" s="165">
        <f t="shared" si="5"/>
        <v>2959097.081</v>
      </c>
      <c r="G785" s="166">
        <f t="shared" si="2"/>
        <v>1701.480822</v>
      </c>
      <c r="H785" s="167">
        <f t="shared" si="3"/>
        <v>177131.1237</v>
      </c>
      <c r="I785" s="168">
        <f t="shared" si="6"/>
        <v>298981.6715</v>
      </c>
      <c r="J785" s="1"/>
      <c r="K785" s="164"/>
      <c r="L785" s="164">
        <v>682.0</v>
      </c>
      <c r="M785" s="165">
        <f t="shared" si="7"/>
        <v>2781965.958</v>
      </c>
      <c r="N785" s="166">
        <f t="shared" si="8"/>
        <v>1609.393812</v>
      </c>
      <c r="O785" s="169">
        <f t="shared" si="9"/>
        <v>290966.6111</v>
      </c>
      <c r="P785" s="171">
        <f t="shared" si="550"/>
        <v>332931.4874</v>
      </c>
      <c r="Q785" s="172"/>
      <c r="R785" s="172"/>
    </row>
    <row r="786" ht="14.25" customHeight="1" outlineLevel="1">
      <c r="A786" s="1"/>
      <c r="B786" s="163"/>
      <c r="C786" s="163"/>
      <c r="D786" s="164"/>
      <c r="E786" s="164">
        <v>683.0</v>
      </c>
      <c r="F786" s="165">
        <f t="shared" si="5"/>
        <v>2974608.075</v>
      </c>
      <c r="G786" s="166">
        <f t="shared" si="2"/>
        <v>1710.399643</v>
      </c>
      <c r="H786" s="167">
        <f t="shared" si="3"/>
        <v>178040.0411</v>
      </c>
      <c r="I786" s="168">
        <f t="shared" si="6"/>
        <v>300692.0712</v>
      </c>
      <c r="J786" s="1"/>
      <c r="K786" s="164"/>
      <c r="L786" s="164">
        <v>683.0</v>
      </c>
      <c r="M786" s="165">
        <f t="shared" si="7"/>
        <v>2796568.034</v>
      </c>
      <c r="N786" s="166">
        <f t="shared" si="8"/>
        <v>1617.790006</v>
      </c>
      <c r="O786" s="169">
        <f t="shared" si="9"/>
        <v>292584.4011</v>
      </c>
      <c r="P786" s="171">
        <f t="shared" si="550"/>
        <v>333419.6567</v>
      </c>
      <c r="Q786" s="172"/>
      <c r="R786" s="172"/>
    </row>
    <row r="787" ht="14.25" customHeight="1" outlineLevel="1">
      <c r="A787" s="1"/>
      <c r="B787" s="163"/>
      <c r="C787" s="163"/>
      <c r="D787" s="164">
        <v>57.0</v>
      </c>
      <c r="E787" s="164">
        <v>684.0</v>
      </c>
      <c r="F787" s="165">
        <f t="shared" si="5"/>
        <v>2990197.8</v>
      </c>
      <c r="G787" s="166">
        <f t="shared" si="2"/>
        <v>1719.363735</v>
      </c>
      <c r="H787" s="167">
        <f t="shared" si="3"/>
        <v>178953.5721</v>
      </c>
      <c r="I787" s="168">
        <f t="shared" si="6"/>
        <v>302411.4349</v>
      </c>
      <c r="J787" s="1"/>
      <c r="K787" s="164">
        <v>57.0</v>
      </c>
      <c r="L787" s="164">
        <v>684.0</v>
      </c>
      <c r="M787" s="165">
        <f t="shared" si="7"/>
        <v>2811244.228</v>
      </c>
      <c r="N787" s="166">
        <f t="shared" si="8"/>
        <v>1626.228818</v>
      </c>
      <c r="O787" s="169">
        <f t="shared" si="9"/>
        <v>294210.6299</v>
      </c>
      <c r="P787" s="171">
        <f t="shared" si="550"/>
        <v>333907.8261</v>
      </c>
      <c r="Q787" s="172"/>
      <c r="R787" s="172"/>
    </row>
    <row r="788" ht="14.25" customHeight="1" outlineLevel="1">
      <c r="A788" s="1"/>
      <c r="B788" s="163"/>
      <c r="C788" s="163"/>
      <c r="D788" s="164"/>
      <c r="E788" s="164">
        <v>685.0</v>
      </c>
      <c r="F788" s="165">
        <f t="shared" si="5"/>
        <v>3005866.657</v>
      </c>
      <c r="G788" s="166">
        <f t="shared" si="2"/>
        <v>1728.373328</v>
      </c>
      <c r="H788" s="167">
        <f t="shared" si="3"/>
        <v>179871.7401</v>
      </c>
      <c r="I788" s="168">
        <f t="shared" si="6"/>
        <v>304139.8082</v>
      </c>
      <c r="J788" s="1"/>
      <c r="K788" s="164"/>
      <c r="L788" s="164">
        <v>685.0</v>
      </c>
      <c r="M788" s="165">
        <f t="shared" si="7"/>
        <v>2825994.917</v>
      </c>
      <c r="N788" s="166">
        <f t="shared" si="8"/>
        <v>1634.710464</v>
      </c>
      <c r="O788" s="169">
        <f t="shared" si="9"/>
        <v>295845.3404</v>
      </c>
      <c r="P788" s="171">
        <f t="shared" si="550"/>
        <v>334395.9954</v>
      </c>
      <c r="Q788" s="172"/>
      <c r="R788" s="172"/>
    </row>
    <row r="789" ht="14.25" customHeight="1" outlineLevel="1">
      <c r="A789" s="1"/>
      <c r="B789" s="163"/>
      <c r="C789" s="163"/>
      <c r="D789" s="164"/>
      <c r="E789" s="164">
        <v>686.0</v>
      </c>
      <c r="F789" s="165">
        <f t="shared" si="5"/>
        <v>3021615.048</v>
      </c>
      <c r="G789" s="166">
        <f t="shared" si="2"/>
        <v>1737.428653</v>
      </c>
      <c r="H789" s="167">
        <f t="shared" si="3"/>
        <v>180794.5686</v>
      </c>
      <c r="I789" s="168">
        <f t="shared" si="6"/>
        <v>305877.2369</v>
      </c>
      <c r="J789" s="1"/>
      <c r="K789" s="164"/>
      <c r="L789" s="164">
        <v>686.0</v>
      </c>
      <c r="M789" s="165">
        <f t="shared" si="7"/>
        <v>2840820.48</v>
      </c>
      <c r="N789" s="166">
        <f t="shared" si="8"/>
        <v>1643.235163</v>
      </c>
      <c r="O789" s="169">
        <f t="shared" si="9"/>
        <v>297488.5755</v>
      </c>
      <c r="P789" s="171">
        <f t="shared" si="550"/>
        <v>334884.1647</v>
      </c>
      <c r="Q789" s="172"/>
      <c r="R789" s="172"/>
    </row>
    <row r="790" ht="14.25" customHeight="1" outlineLevel="1">
      <c r="A790" s="1"/>
      <c r="B790" s="163"/>
      <c r="C790" s="163"/>
      <c r="D790" s="164"/>
      <c r="E790" s="164">
        <v>687.0</v>
      </c>
      <c r="F790" s="165">
        <f t="shared" si="5"/>
        <v>3037443.376</v>
      </c>
      <c r="G790" s="166">
        <f t="shared" si="2"/>
        <v>1746.529941</v>
      </c>
      <c r="H790" s="167">
        <f t="shared" si="3"/>
        <v>181722.0813</v>
      </c>
      <c r="I790" s="168">
        <f t="shared" si="6"/>
        <v>307623.7668</v>
      </c>
      <c r="J790" s="1"/>
      <c r="K790" s="164"/>
      <c r="L790" s="164">
        <v>687.0</v>
      </c>
      <c r="M790" s="165">
        <f t="shared" si="7"/>
        <v>2855721.295</v>
      </c>
      <c r="N790" s="166">
        <f t="shared" si="8"/>
        <v>1651.803131</v>
      </c>
      <c r="O790" s="169">
        <f t="shared" si="9"/>
        <v>299140.3787</v>
      </c>
      <c r="P790" s="171">
        <f t="shared" si="550"/>
        <v>335372.3341</v>
      </c>
      <c r="Q790" s="172"/>
      <c r="R790" s="172"/>
    </row>
    <row r="791" ht="14.25" customHeight="1" outlineLevel="1">
      <c r="A791" s="1"/>
      <c r="B791" s="163"/>
      <c r="C791" s="163"/>
      <c r="D791" s="164"/>
      <c r="E791" s="164">
        <v>688.0</v>
      </c>
      <c r="F791" s="165">
        <f t="shared" si="5"/>
        <v>3053352.047</v>
      </c>
      <c r="G791" s="166">
        <f t="shared" si="2"/>
        <v>1755.677427</v>
      </c>
      <c r="H791" s="167">
        <f t="shared" si="3"/>
        <v>182654.302</v>
      </c>
      <c r="I791" s="168">
        <f t="shared" si="6"/>
        <v>309379.4442</v>
      </c>
      <c r="J791" s="1"/>
      <c r="K791" s="164"/>
      <c r="L791" s="164">
        <v>688.0</v>
      </c>
      <c r="M791" s="165">
        <f t="shared" si="7"/>
        <v>2870697.745</v>
      </c>
      <c r="N791" s="166">
        <f t="shared" si="8"/>
        <v>1660.41459</v>
      </c>
      <c r="O791" s="169">
        <f t="shared" si="9"/>
        <v>300800.7933</v>
      </c>
      <c r="P791" s="171">
        <f t="shared" si="550"/>
        <v>335860.5034</v>
      </c>
      <c r="Q791" s="172"/>
      <c r="R791" s="172"/>
    </row>
    <row r="792" ht="14.25" customHeight="1" outlineLevel="1">
      <c r="A792" s="1"/>
      <c r="B792" s="163"/>
      <c r="C792" s="163"/>
      <c r="D792" s="164"/>
      <c r="E792" s="164">
        <v>689.0</v>
      </c>
      <c r="F792" s="165">
        <f t="shared" si="5"/>
        <v>3069341.469</v>
      </c>
      <c r="G792" s="166">
        <f t="shared" si="2"/>
        <v>1764.871345</v>
      </c>
      <c r="H792" s="167">
        <f t="shared" si="3"/>
        <v>183591.2545</v>
      </c>
      <c r="I792" s="168">
        <f t="shared" si="6"/>
        <v>311144.3156</v>
      </c>
      <c r="J792" s="1"/>
      <c r="K792" s="164"/>
      <c r="L792" s="164">
        <v>689.0</v>
      </c>
      <c r="M792" s="165">
        <f t="shared" si="7"/>
        <v>2885750.214</v>
      </c>
      <c r="N792" s="166">
        <f t="shared" si="8"/>
        <v>1669.06976</v>
      </c>
      <c r="O792" s="169">
        <f t="shared" si="9"/>
        <v>302469.863</v>
      </c>
      <c r="P792" s="171">
        <f t="shared" si="550"/>
        <v>336348.6727</v>
      </c>
      <c r="Q792" s="172"/>
      <c r="R792" s="172"/>
    </row>
    <row r="793" ht="14.25" customHeight="1" outlineLevel="1">
      <c r="A793" s="1"/>
      <c r="B793" s="163"/>
      <c r="C793" s="163"/>
      <c r="D793" s="164"/>
      <c r="E793" s="164">
        <v>690.0</v>
      </c>
      <c r="F793" s="165">
        <f t="shared" si="5"/>
        <v>3085412.051</v>
      </c>
      <c r="G793" s="166">
        <f t="shared" si="2"/>
        <v>1774.111929</v>
      </c>
      <c r="H793" s="167">
        <f t="shared" si="3"/>
        <v>184532.9629</v>
      </c>
      <c r="I793" s="168">
        <f t="shared" si="6"/>
        <v>312918.4275</v>
      </c>
      <c r="J793" s="1"/>
      <c r="K793" s="164"/>
      <c r="L793" s="164">
        <v>690.0</v>
      </c>
      <c r="M793" s="165">
        <f t="shared" si="7"/>
        <v>2900879.088</v>
      </c>
      <c r="N793" s="166">
        <f t="shared" si="8"/>
        <v>1677.768862</v>
      </c>
      <c r="O793" s="169">
        <f t="shared" si="9"/>
        <v>304147.6319</v>
      </c>
      <c r="P793" s="171">
        <f t="shared" si="550"/>
        <v>336836.8421</v>
      </c>
      <c r="Q793" s="172"/>
      <c r="R793" s="172"/>
    </row>
    <row r="794" ht="14.25" customHeight="1" outlineLevel="1">
      <c r="A794" s="1"/>
      <c r="B794" s="163"/>
      <c r="C794" s="163"/>
      <c r="D794" s="164"/>
      <c r="E794" s="164">
        <v>691.0</v>
      </c>
      <c r="F794" s="165">
        <f t="shared" si="5"/>
        <v>3101564.206</v>
      </c>
      <c r="G794" s="166">
        <f t="shared" si="2"/>
        <v>1783.399418</v>
      </c>
      <c r="H794" s="167">
        <f t="shared" si="3"/>
        <v>185479.4513</v>
      </c>
      <c r="I794" s="168">
        <f t="shared" si="6"/>
        <v>314701.8269</v>
      </c>
      <c r="J794" s="1"/>
      <c r="K794" s="164"/>
      <c r="L794" s="164">
        <v>691.0</v>
      </c>
      <c r="M794" s="165">
        <f t="shared" si="7"/>
        <v>2916084.755</v>
      </c>
      <c r="N794" s="166">
        <f t="shared" si="8"/>
        <v>1686.512121</v>
      </c>
      <c r="O794" s="169">
        <f t="shared" si="9"/>
        <v>305834.144</v>
      </c>
      <c r="P794" s="171">
        <f t="shared" si="550"/>
        <v>337325.0114</v>
      </c>
      <c r="Q794" s="172"/>
      <c r="R794" s="172"/>
    </row>
    <row r="795" ht="14.25" customHeight="1" outlineLevel="1">
      <c r="A795" s="1"/>
      <c r="B795" s="163"/>
      <c r="C795" s="163"/>
      <c r="D795" s="164"/>
      <c r="E795" s="164">
        <v>692.0</v>
      </c>
      <c r="F795" s="165">
        <f t="shared" si="5"/>
        <v>3117798.347</v>
      </c>
      <c r="G795" s="166">
        <f t="shared" si="2"/>
        <v>1792.73405</v>
      </c>
      <c r="H795" s="167">
        <f t="shared" si="3"/>
        <v>186430.744</v>
      </c>
      <c r="I795" s="168">
        <f t="shared" si="6"/>
        <v>316494.561</v>
      </c>
      <c r="J795" s="1"/>
      <c r="K795" s="164"/>
      <c r="L795" s="164">
        <v>692.0</v>
      </c>
      <c r="M795" s="165">
        <f t="shared" si="7"/>
        <v>2931367.603</v>
      </c>
      <c r="N795" s="166">
        <f t="shared" si="8"/>
        <v>1695.299759</v>
      </c>
      <c r="O795" s="169">
        <f t="shared" si="9"/>
        <v>307529.4438</v>
      </c>
      <c r="P795" s="171">
        <f t="shared" si="550"/>
        <v>337813.1808</v>
      </c>
      <c r="Q795" s="172"/>
      <c r="R795" s="172"/>
    </row>
    <row r="796" ht="14.25" customHeight="1" outlineLevel="1">
      <c r="A796" s="1"/>
      <c r="B796" s="163"/>
      <c r="C796" s="163"/>
      <c r="D796" s="164"/>
      <c r="E796" s="164">
        <v>693.0</v>
      </c>
      <c r="F796" s="165">
        <f t="shared" si="5"/>
        <v>3134114.892</v>
      </c>
      <c r="G796" s="166">
        <f t="shared" si="2"/>
        <v>1802.116063</v>
      </c>
      <c r="H796" s="167">
        <f t="shared" si="3"/>
        <v>187386.8653</v>
      </c>
      <c r="I796" s="168">
        <f t="shared" si="6"/>
        <v>318296.677</v>
      </c>
      <c r="J796" s="1"/>
      <c r="K796" s="164"/>
      <c r="L796" s="164">
        <v>693.0</v>
      </c>
      <c r="M796" s="165">
        <f t="shared" si="7"/>
        <v>2946728.026</v>
      </c>
      <c r="N796" s="166">
        <f t="shared" si="8"/>
        <v>1704.132002</v>
      </c>
      <c r="O796" s="169">
        <f t="shared" si="9"/>
        <v>309233.5758</v>
      </c>
      <c r="P796" s="171">
        <f t="shared" si="550"/>
        <v>338301.3501</v>
      </c>
      <c r="Q796" s="172"/>
      <c r="R796" s="172"/>
    </row>
    <row r="797" ht="14.25" customHeight="1" outlineLevel="1">
      <c r="A797" s="1"/>
      <c r="B797" s="163"/>
      <c r="C797" s="163"/>
      <c r="D797" s="164"/>
      <c r="E797" s="164">
        <v>694.0</v>
      </c>
      <c r="F797" s="165">
        <f t="shared" si="5"/>
        <v>3150514.257</v>
      </c>
      <c r="G797" s="166">
        <f t="shared" si="2"/>
        <v>1811.545698</v>
      </c>
      <c r="H797" s="167">
        <f t="shared" si="3"/>
        <v>188347.8398</v>
      </c>
      <c r="I797" s="168">
        <f t="shared" si="6"/>
        <v>320108.2227</v>
      </c>
      <c r="J797" s="1"/>
      <c r="K797" s="164"/>
      <c r="L797" s="164">
        <v>694.0</v>
      </c>
      <c r="M797" s="165">
        <f t="shared" si="7"/>
        <v>2962166.417</v>
      </c>
      <c r="N797" s="166">
        <f t="shared" si="8"/>
        <v>1713.009077</v>
      </c>
      <c r="O797" s="169">
        <f t="shared" si="9"/>
        <v>310946.5848</v>
      </c>
      <c r="P797" s="171">
        <f t="shared" si="550"/>
        <v>338789.5194</v>
      </c>
      <c r="Q797" s="172"/>
      <c r="R797" s="172"/>
    </row>
    <row r="798" ht="14.25" customHeight="1" outlineLevel="1">
      <c r="A798" s="1"/>
      <c r="B798" s="163"/>
      <c r="C798" s="163"/>
      <c r="D798" s="164"/>
      <c r="E798" s="164">
        <v>695.0</v>
      </c>
      <c r="F798" s="165">
        <f t="shared" si="5"/>
        <v>3166996.864</v>
      </c>
      <c r="G798" s="166">
        <f t="shared" si="2"/>
        <v>1821.023197</v>
      </c>
      <c r="H798" s="167">
        <f t="shared" si="3"/>
        <v>189313.6921</v>
      </c>
      <c r="I798" s="168">
        <f t="shared" si="6"/>
        <v>321929.2459</v>
      </c>
      <c r="J798" s="1"/>
      <c r="K798" s="164"/>
      <c r="L798" s="164">
        <v>695.0</v>
      </c>
      <c r="M798" s="165">
        <f t="shared" si="7"/>
        <v>2977683.171</v>
      </c>
      <c r="N798" s="166">
        <f t="shared" si="8"/>
        <v>1721.93121</v>
      </c>
      <c r="O798" s="169">
        <f t="shared" si="9"/>
        <v>312668.516</v>
      </c>
      <c r="P798" s="171">
        <f t="shared" si="550"/>
        <v>339277.6888</v>
      </c>
      <c r="Q798" s="172"/>
      <c r="R798" s="172"/>
    </row>
    <row r="799" ht="14.25" customHeight="1" outlineLevel="1">
      <c r="A799" s="1"/>
      <c r="B799" s="163"/>
      <c r="C799" s="163"/>
      <c r="D799" s="164">
        <v>58.0</v>
      </c>
      <c r="E799" s="164">
        <v>696.0</v>
      </c>
      <c r="F799" s="165">
        <f t="shared" si="5"/>
        <v>3183563.134</v>
      </c>
      <c r="G799" s="166">
        <f t="shared" si="2"/>
        <v>1830.548802</v>
      </c>
      <c r="H799" s="167">
        <f t="shared" si="3"/>
        <v>190284.447</v>
      </c>
      <c r="I799" s="168">
        <f t="shared" si="6"/>
        <v>323759.7947</v>
      </c>
      <c r="J799" s="1"/>
      <c r="K799" s="164">
        <v>58.0</v>
      </c>
      <c r="L799" s="164">
        <v>696.0</v>
      </c>
      <c r="M799" s="165">
        <f t="shared" si="7"/>
        <v>2993278.687</v>
      </c>
      <c r="N799" s="166">
        <f t="shared" si="8"/>
        <v>1730.898632</v>
      </c>
      <c r="O799" s="169">
        <f t="shared" si="9"/>
        <v>314399.4147</v>
      </c>
      <c r="P799" s="171">
        <f t="shared" si="550"/>
        <v>339765.8581</v>
      </c>
      <c r="Q799" s="172"/>
      <c r="R799" s="172"/>
    </row>
    <row r="800" ht="14.25" customHeight="1" outlineLevel="1">
      <c r="A800" s="1"/>
      <c r="B800" s="163"/>
      <c r="C800" s="163"/>
      <c r="D800" s="164"/>
      <c r="E800" s="164">
        <v>697.0</v>
      </c>
      <c r="F800" s="165">
        <f t="shared" si="5"/>
        <v>3200213.494</v>
      </c>
      <c r="G800" s="166">
        <f t="shared" si="2"/>
        <v>1840.122759</v>
      </c>
      <c r="H800" s="167">
        <f t="shared" si="3"/>
        <v>191260.1293</v>
      </c>
      <c r="I800" s="168">
        <f t="shared" si="6"/>
        <v>325599.9175</v>
      </c>
      <c r="J800" s="1"/>
      <c r="K800" s="164"/>
      <c r="L800" s="164">
        <v>697.0</v>
      </c>
      <c r="M800" s="165">
        <f t="shared" si="7"/>
        <v>3008953.364</v>
      </c>
      <c r="N800" s="166">
        <f t="shared" si="8"/>
        <v>1739.911571</v>
      </c>
      <c r="O800" s="169">
        <f t="shared" si="9"/>
        <v>316139.3262</v>
      </c>
      <c r="P800" s="171">
        <f t="shared" si="550"/>
        <v>340254.0274</v>
      </c>
      <c r="Q800" s="172"/>
      <c r="R800" s="172"/>
    </row>
    <row r="801" ht="14.25" customHeight="1" outlineLevel="1">
      <c r="A801" s="1"/>
      <c r="B801" s="163"/>
      <c r="C801" s="163"/>
      <c r="D801" s="164"/>
      <c r="E801" s="164">
        <v>698.0</v>
      </c>
      <c r="F801" s="165">
        <f t="shared" si="5"/>
        <v>3216948.368</v>
      </c>
      <c r="G801" s="166">
        <f t="shared" si="2"/>
        <v>1849.745312</v>
      </c>
      <c r="H801" s="167">
        <f t="shared" si="3"/>
        <v>192240.7641</v>
      </c>
      <c r="I801" s="168">
        <f t="shared" si="6"/>
        <v>327449.6628</v>
      </c>
      <c r="J801" s="1"/>
      <c r="K801" s="164"/>
      <c r="L801" s="164">
        <v>698.0</v>
      </c>
      <c r="M801" s="165">
        <f t="shared" si="7"/>
        <v>3024707.604</v>
      </c>
      <c r="N801" s="166">
        <f t="shared" si="8"/>
        <v>1748.970259</v>
      </c>
      <c r="O801" s="169">
        <f t="shared" si="9"/>
        <v>317888.2965</v>
      </c>
      <c r="P801" s="171">
        <f t="shared" si="550"/>
        <v>340742.1968</v>
      </c>
      <c r="Q801" s="172"/>
      <c r="R801" s="172"/>
    </row>
    <row r="802" ht="14.25" customHeight="1" outlineLevel="1">
      <c r="A802" s="1"/>
      <c r="B802" s="163"/>
      <c r="C802" s="163"/>
      <c r="D802" s="164"/>
      <c r="E802" s="164">
        <v>699.0</v>
      </c>
      <c r="F802" s="165">
        <f t="shared" si="5"/>
        <v>3233768.188</v>
      </c>
      <c r="G802" s="166">
        <f t="shared" si="2"/>
        <v>1859.416708</v>
      </c>
      <c r="H802" s="167">
        <f t="shared" si="3"/>
        <v>193226.3765</v>
      </c>
      <c r="I802" s="168">
        <f t="shared" si="6"/>
        <v>329309.0795</v>
      </c>
      <c r="J802" s="1"/>
      <c r="K802" s="164"/>
      <c r="L802" s="164">
        <v>699.0</v>
      </c>
      <c r="M802" s="165">
        <f t="shared" si="7"/>
        <v>3040541.811</v>
      </c>
      <c r="N802" s="166">
        <f t="shared" si="8"/>
        <v>1758.074928</v>
      </c>
      <c r="O802" s="169">
        <f t="shared" si="9"/>
        <v>319646.3714</v>
      </c>
      <c r="P802" s="171">
        <f t="shared" si="550"/>
        <v>341230.3661</v>
      </c>
      <c r="Q802" s="172"/>
      <c r="R802" s="172"/>
    </row>
    <row r="803" ht="14.25" customHeight="1" outlineLevel="1">
      <c r="A803" s="1"/>
      <c r="B803" s="163"/>
      <c r="C803" s="163"/>
      <c r="D803" s="164"/>
      <c r="E803" s="164">
        <v>700.0</v>
      </c>
      <c r="F803" s="165">
        <f t="shared" si="5"/>
        <v>3250673.383</v>
      </c>
      <c r="G803" s="166">
        <f t="shared" si="2"/>
        <v>1869.137195</v>
      </c>
      <c r="H803" s="167">
        <f t="shared" si="3"/>
        <v>194216.9917</v>
      </c>
      <c r="I803" s="168">
        <f t="shared" si="6"/>
        <v>331178.2167</v>
      </c>
      <c r="J803" s="1"/>
      <c r="K803" s="164"/>
      <c r="L803" s="164">
        <v>700.0</v>
      </c>
      <c r="M803" s="165">
        <f t="shared" si="7"/>
        <v>3056456.391</v>
      </c>
      <c r="N803" s="166">
        <f t="shared" si="8"/>
        <v>1767.225811</v>
      </c>
      <c r="O803" s="169">
        <f t="shared" si="9"/>
        <v>321413.5972</v>
      </c>
      <c r="P803" s="171">
        <f t="shared" si="550"/>
        <v>341718.5354</v>
      </c>
      <c r="Q803" s="172"/>
      <c r="R803" s="172"/>
    </row>
    <row r="804" ht="14.25" customHeight="1" outlineLevel="1">
      <c r="A804" s="1"/>
      <c r="B804" s="163"/>
      <c r="C804" s="163"/>
      <c r="D804" s="164"/>
      <c r="E804" s="164">
        <v>701.0</v>
      </c>
      <c r="F804" s="165">
        <f t="shared" si="5"/>
        <v>3267664.386</v>
      </c>
      <c r="G804" s="166">
        <f t="shared" si="2"/>
        <v>1878.907022</v>
      </c>
      <c r="H804" s="167">
        <f t="shared" si="3"/>
        <v>195212.6352</v>
      </c>
      <c r="I804" s="168">
        <f t="shared" si="6"/>
        <v>333057.1237</v>
      </c>
      <c r="J804" s="1"/>
      <c r="K804" s="164"/>
      <c r="L804" s="164">
        <v>701.0</v>
      </c>
      <c r="M804" s="165">
        <f t="shared" si="7"/>
        <v>3072451.751</v>
      </c>
      <c r="N804" s="166">
        <f t="shared" si="8"/>
        <v>1776.423144</v>
      </c>
      <c r="O804" s="169">
        <f t="shared" si="9"/>
        <v>323190.0204</v>
      </c>
      <c r="P804" s="171">
        <f t="shared" si="550"/>
        <v>342206.7048</v>
      </c>
      <c r="Q804" s="172"/>
      <c r="R804" s="172"/>
    </row>
    <row r="805" ht="14.25" customHeight="1" outlineLevel="1">
      <c r="A805" s="1"/>
      <c r="B805" s="163"/>
      <c r="C805" s="163"/>
      <c r="D805" s="164"/>
      <c r="E805" s="164">
        <v>702.0</v>
      </c>
      <c r="F805" s="165">
        <f t="shared" si="5"/>
        <v>3284741.635</v>
      </c>
      <c r="G805" s="166">
        <f t="shared" si="2"/>
        <v>1888.72644</v>
      </c>
      <c r="H805" s="167">
        <f t="shared" si="3"/>
        <v>196213.3325</v>
      </c>
      <c r="I805" s="168">
        <f t="shared" si="6"/>
        <v>334945.8502</v>
      </c>
      <c r="J805" s="1"/>
      <c r="K805" s="164"/>
      <c r="L805" s="164">
        <v>702.0</v>
      </c>
      <c r="M805" s="165">
        <f t="shared" si="7"/>
        <v>3088528.302</v>
      </c>
      <c r="N805" s="166">
        <f t="shared" si="8"/>
        <v>1785.667161</v>
      </c>
      <c r="O805" s="169">
        <f t="shared" si="9"/>
        <v>324975.6876</v>
      </c>
      <c r="P805" s="171">
        <f t="shared" si="550"/>
        <v>342694.8741</v>
      </c>
      <c r="Q805" s="172"/>
      <c r="R805" s="172"/>
    </row>
    <row r="806" ht="14.25" customHeight="1" outlineLevel="1">
      <c r="A806" s="1"/>
      <c r="B806" s="163"/>
      <c r="C806" s="163"/>
      <c r="D806" s="164"/>
      <c r="E806" s="164">
        <v>703.0</v>
      </c>
      <c r="F806" s="165">
        <f t="shared" si="5"/>
        <v>3301905.565</v>
      </c>
      <c r="G806" s="166">
        <f t="shared" si="2"/>
        <v>1898.5957</v>
      </c>
      <c r="H806" s="167">
        <f t="shared" si="3"/>
        <v>197219.1092</v>
      </c>
      <c r="I806" s="168">
        <f t="shared" si="6"/>
        <v>336844.4459</v>
      </c>
      <c r="J806" s="1"/>
      <c r="K806" s="164"/>
      <c r="L806" s="164">
        <v>703.0</v>
      </c>
      <c r="M806" s="165">
        <f t="shared" si="7"/>
        <v>3104686.456</v>
      </c>
      <c r="N806" s="166">
        <f t="shared" si="8"/>
        <v>1794.958099</v>
      </c>
      <c r="O806" s="169">
        <f t="shared" si="9"/>
        <v>326770.6456</v>
      </c>
      <c r="P806" s="171">
        <f t="shared" si="550"/>
        <v>343183.0435</v>
      </c>
      <c r="Q806" s="172"/>
      <c r="R806" s="172"/>
    </row>
    <row r="807" ht="14.25" customHeight="1" outlineLevel="1">
      <c r="A807" s="1"/>
      <c r="B807" s="163"/>
      <c r="C807" s="163"/>
      <c r="D807" s="164"/>
      <c r="E807" s="164">
        <v>704.0</v>
      </c>
      <c r="F807" s="165">
        <f t="shared" si="5"/>
        <v>3319156.619</v>
      </c>
      <c r="G807" s="166">
        <f t="shared" si="2"/>
        <v>1908.515056</v>
      </c>
      <c r="H807" s="167">
        <f t="shared" si="3"/>
        <v>198229.9911</v>
      </c>
      <c r="I807" s="168">
        <f t="shared" si="6"/>
        <v>338752.9609</v>
      </c>
      <c r="J807" s="1"/>
      <c r="K807" s="164"/>
      <c r="L807" s="164">
        <v>704.0</v>
      </c>
      <c r="M807" s="165">
        <f t="shared" si="7"/>
        <v>3120926.627</v>
      </c>
      <c r="N807" s="166">
        <f t="shared" si="8"/>
        <v>1804.296197</v>
      </c>
      <c r="O807" s="169">
        <f t="shared" si="9"/>
        <v>328574.9418</v>
      </c>
      <c r="P807" s="171">
        <f t="shared" si="550"/>
        <v>343671.2128</v>
      </c>
      <c r="Q807" s="172"/>
      <c r="R807" s="172"/>
    </row>
    <row r="808" ht="14.25" customHeight="1" outlineLevel="1">
      <c r="A808" s="1"/>
      <c r="B808" s="163"/>
      <c r="C808" s="163"/>
      <c r="D808" s="164"/>
      <c r="E808" s="164">
        <v>705.0</v>
      </c>
      <c r="F808" s="165">
        <f t="shared" si="5"/>
        <v>3336495.236</v>
      </c>
      <c r="G808" s="166">
        <f t="shared" si="2"/>
        <v>1918.484761</v>
      </c>
      <c r="H808" s="167">
        <f t="shared" si="3"/>
        <v>199246.0042</v>
      </c>
      <c r="I808" s="168">
        <f t="shared" si="6"/>
        <v>340671.4457</v>
      </c>
      <c r="J808" s="1"/>
      <c r="K808" s="164"/>
      <c r="L808" s="164">
        <v>705.0</v>
      </c>
      <c r="M808" s="165">
        <f t="shared" si="7"/>
        <v>3137249.232</v>
      </c>
      <c r="N808" s="166">
        <f t="shared" si="8"/>
        <v>1813.681695</v>
      </c>
      <c r="O808" s="169">
        <f t="shared" si="9"/>
        <v>330388.6235</v>
      </c>
      <c r="P808" s="171">
        <f t="shared" si="550"/>
        <v>344159.3821</v>
      </c>
      <c r="Q808" s="172"/>
      <c r="R808" s="172"/>
    </row>
    <row r="809" ht="14.25" customHeight="1" outlineLevel="1">
      <c r="A809" s="1"/>
      <c r="B809" s="163"/>
      <c r="C809" s="163"/>
      <c r="D809" s="164"/>
      <c r="E809" s="164">
        <v>706.0</v>
      </c>
      <c r="F809" s="165">
        <f t="shared" si="5"/>
        <v>3353921.863</v>
      </c>
      <c r="G809" s="166">
        <f t="shared" si="2"/>
        <v>1928.505071</v>
      </c>
      <c r="H809" s="167">
        <f t="shared" si="3"/>
        <v>200267.1744</v>
      </c>
      <c r="I809" s="168">
        <f t="shared" si="6"/>
        <v>342599.9508</v>
      </c>
      <c r="J809" s="1"/>
      <c r="K809" s="164"/>
      <c r="L809" s="164">
        <v>706.0</v>
      </c>
      <c r="M809" s="165">
        <f t="shared" si="7"/>
        <v>3153654.688</v>
      </c>
      <c r="N809" s="166">
        <f t="shared" si="8"/>
        <v>1823.114832</v>
      </c>
      <c r="O809" s="169">
        <f t="shared" si="9"/>
        <v>332211.7384</v>
      </c>
      <c r="P809" s="171">
        <f t="shared" si="550"/>
        <v>344647.5515</v>
      </c>
      <c r="Q809" s="172"/>
      <c r="R809" s="172"/>
    </row>
    <row r="810" ht="14.25" customHeight="1" outlineLevel="1">
      <c r="A810" s="1"/>
      <c r="B810" s="163"/>
      <c r="C810" s="163"/>
      <c r="D810" s="164"/>
      <c r="E810" s="164">
        <v>707.0</v>
      </c>
      <c r="F810" s="165">
        <f t="shared" si="5"/>
        <v>3371436.945</v>
      </c>
      <c r="G810" s="166">
        <f t="shared" si="2"/>
        <v>1938.576243</v>
      </c>
      <c r="H810" s="167">
        <f t="shared" si="3"/>
        <v>201293.528</v>
      </c>
      <c r="I810" s="168">
        <f t="shared" si="6"/>
        <v>344538.527</v>
      </c>
      <c r="J810" s="1"/>
      <c r="K810" s="164"/>
      <c r="L810" s="164">
        <v>707.0</v>
      </c>
      <c r="M810" s="165">
        <f t="shared" si="7"/>
        <v>3170143.417</v>
      </c>
      <c r="N810" s="166">
        <f t="shared" si="8"/>
        <v>1832.595851</v>
      </c>
      <c r="O810" s="169">
        <f t="shared" si="9"/>
        <v>334044.3342</v>
      </c>
      <c r="P810" s="171">
        <f t="shared" si="550"/>
        <v>345135.7208</v>
      </c>
      <c r="Q810" s="172"/>
      <c r="R810" s="172"/>
    </row>
    <row r="811" ht="14.25" customHeight="1" outlineLevel="1">
      <c r="A811" s="1"/>
      <c r="B811" s="163"/>
      <c r="C811" s="163"/>
      <c r="D811" s="164">
        <v>59.0</v>
      </c>
      <c r="E811" s="164">
        <v>708.0</v>
      </c>
      <c r="F811" s="165">
        <f t="shared" si="5"/>
        <v>3389040.932</v>
      </c>
      <c r="G811" s="166">
        <f t="shared" si="2"/>
        <v>1948.698536</v>
      </c>
      <c r="H811" s="167">
        <f t="shared" si="3"/>
        <v>202325.0913</v>
      </c>
      <c r="I811" s="168">
        <f t="shared" si="6"/>
        <v>346487.2255</v>
      </c>
      <c r="J811" s="1"/>
      <c r="K811" s="164">
        <v>59.0</v>
      </c>
      <c r="L811" s="164">
        <v>708.0</v>
      </c>
      <c r="M811" s="165">
        <f t="shared" si="7"/>
        <v>3186715.84</v>
      </c>
      <c r="N811" s="166">
        <f t="shared" si="8"/>
        <v>1842.124995</v>
      </c>
      <c r="O811" s="169">
        <f t="shared" si="9"/>
        <v>335886.4592</v>
      </c>
      <c r="P811" s="171">
        <f t="shared" si="550"/>
        <v>345623.8901</v>
      </c>
      <c r="Q811" s="172"/>
      <c r="R811" s="172"/>
    </row>
    <row r="812" ht="14.25" customHeight="1" outlineLevel="1">
      <c r="A812" s="1"/>
      <c r="B812" s="163"/>
      <c r="C812" s="163"/>
      <c r="D812" s="164"/>
      <c r="E812" s="164">
        <v>709.0</v>
      </c>
      <c r="F812" s="165">
        <f t="shared" si="5"/>
        <v>3406734.275</v>
      </c>
      <c r="G812" s="166">
        <f t="shared" si="2"/>
        <v>1958.872208</v>
      </c>
      <c r="H812" s="167">
        <f t="shared" si="3"/>
        <v>203361.8906</v>
      </c>
      <c r="I812" s="168">
        <f t="shared" si="6"/>
        <v>348446.0978</v>
      </c>
      <c r="J812" s="1"/>
      <c r="K812" s="164"/>
      <c r="L812" s="164">
        <v>709.0</v>
      </c>
      <c r="M812" s="165">
        <f t="shared" si="7"/>
        <v>3203372.384</v>
      </c>
      <c r="N812" s="166">
        <f t="shared" si="8"/>
        <v>1851.702508</v>
      </c>
      <c r="O812" s="169">
        <f t="shared" si="9"/>
        <v>337738.1617</v>
      </c>
      <c r="P812" s="171">
        <f t="shared" si="550"/>
        <v>346112.0595</v>
      </c>
      <c r="Q812" s="172"/>
      <c r="R812" s="172"/>
    </row>
    <row r="813" ht="14.25" customHeight="1" outlineLevel="1">
      <c r="A813" s="1"/>
      <c r="B813" s="163"/>
      <c r="C813" s="163"/>
      <c r="D813" s="164"/>
      <c r="E813" s="164">
        <v>710.0</v>
      </c>
      <c r="F813" s="165">
        <f t="shared" si="5"/>
        <v>3424517.427</v>
      </c>
      <c r="G813" s="166">
        <f t="shared" si="2"/>
        <v>1969.097521</v>
      </c>
      <c r="H813" s="167">
        <f t="shared" si="3"/>
        <v>204403.9527</v>
      </c>
      <c r="I813" s="168">
        <f t="shared" si="6"/>
        <v>350415.1953</v>
      </c>
      <c r="J813" s="1"/>
      <c r="K813" s="164"/>
      <c r="L813" s="164">
        <v>710.0</v>
      </c>
      <c r="M813" s="165">
        <f t="shared" si="7"/>
        <v>3220113.474</v>
      </c>
      <c r="N813" s="166">
        <f t="shared" si="8"/>
        <v>1861.328634</v>
      </c>
      <c r="O813" s="169">
        <f t="shared" si="9"/>
        <v>339599.4904</v>
      </c>
      <c r="P813" s="171">
        <f t="shared" si="550"/>
        <v>346600.2288</v>
      </c>
      <c r="Q813" s="172"/>
      <c r="R813" s="172"/>
    </row>
    <row r="814" ht="14.25" customHeight="1" outlineLevel="1">
      <c r="A814" s="1"/>
      <c r="B814" s="163"/>
      <c r="C814" s="163"/>
      <c r="D814" s="164"/>
      <c r="E814" s="164">
        <v>711.0</v>
      </c>
      <c r="F814" s="165">
        <f t="shared" si="5"/>
        <v>3442390.845</v>
      </c>
      <c r="G814" s="166">
        <f t="shared" si="2"/>
        <v>1979.374736</v>
      </c>
      <c r="H814" s="167">
        <f t="shared" si="3"/>
        <v>205451.3041</v>
      </c>
      <c r="I814" s="168">
        <f t="shared" si="6"/>
        <v>352394.57</v>
      </c>
      <c r="J814" s="1"/>
      <c r="K814" s="164"/>
      <c r="L814" s="164">
        <v>711.0</v>
      </c>
      <c r="M814" s="165">
        <f t="shared" si="7"/>
        <v>3236939.541</v>
      </c>
      <c r="N814" s="166">
        <f t="shared" si="8"/>
        <v>1871.003623</v>
      </c>
      <c r="O814" s="169">
        <f t="shared" si="9"/>
        <v>341470.494</v>
      </c>
      <c r="P814" s="171">
        <f t="shared" si="550"/>
        <v>347088.3981</v>
      </c>
      <c r="Q814" s="172"/>
      <c r="R814" s="172"/>
    </row>
    <row r="815" ht="14.25" customHeight="1" outlineLevel="1">
      <c r="A815" s="1"/>
      <c r="B815" s="163"/>
      <c r="C815" s="163"/>
      <c r="D815" s="164"/>
      <c r="E815" s="164">
        <v>712.0</v>
      </c>
      <c r="F815" s="165">
        <f t="shared" si="5"/>
        <v>3460354.986</v>
      </c>
      <c r="G815" s="166">
        <f t="shared" si="2"/>
        <v>1989.704117</v>
      </c>
      <c r="H815" s="167">
        <f t="shared" si="3"/>
        <v>206503.9718</v>
      </c>
      <c r="I815" s="168">
        <f t="shared" si="6"/>
        <v>354384.2741</v>
      </c>
      <c r="J815" s="1"/>
      <c r="K815" s="164"/>
      <c r="L815" s="164">
        <v>712.0</v>
      </c>
      <c r="M815" s="165">
        <f t="shared" si="7"/>
        <v>3253851.015</v>
      </c>
      <c r="N815" s="166">
        <f t="shared" si="8"/>
        <v>1880.72772</v>
      </c>
      <c r="O815" s="169">
        <f t="shared" si="9"/>
        <v>343351.2217</v>
      </c>
      <c r="P815" s="171">
        <f t="shared" si="550"/>
        <v>347576.5675</v>
      </c>
      <c r="Q815" s="172"/>
      <c r="R815" s="172"/>
    </row>
    <row r="816" ht="14.25" customHeight="1" outlineLevel="1">
      <c r="A816" s="1"/>
      <c r="B816" s="163"/>
      <c r="C816" s="163"/>
      <c r="D816" s="164"/>
      <c r="E816" s="164">
        <v>713.0</v>
      </c>
      <c r="F816" s="165">
        <f t="shared" si="5"/>
        <v>3478410.312</v>
      </c>
      <c r="G816" s="166">
        <f t="shared" si="2"/>
        <v>2000.085929</v>
      </c>
      <c r="H816" s="167">
        <f t="shared" si="3"/>
        <v>207561.9827</v>
      </c>
      <c r="I816" s="168">
        <f t="shared" si="6"/>
        <v>356384.3601</v>
      </c>
      <c r="J816" s="1"/>
      <c r="K816" s="164"/>
      <c r="L816" s="164">
        <v>713.0</v>
      </c>
      <c r="M816" s="165">
        <f t="shared" si="7"/>
        <v>3270848.329</v>
      </c>
      <c r="N816" s="166">
        <f t="shared" si="8"/>
        <v>1890.501176</v>
      </c>
      <c r="O816" s="169">
        <f t="shared" si="9"/>
        <v>345241.7229</v>
      </c>
      <c r="P816" s="171">
        <f t="shared" si="550"/>
        <v>348064.7368</v>
      </c>
      <c r="Q816" s="172"/>
      <c r="R816" s="172"/>
    </row>
    <row r="817" ht="14.25" customHeight="1" outlineLevel="1">
      <c r="A817" s="1"/>
      <c r="B817" s="163"/>
      <c r="C817" s="163"/>
      <c r="D817" s="164"/>
      <c r="E817" s="164">
        <v>714.0</v>
      </c>
      <c r="F817" s="165">
        <f t="shared" si="5"/>
        <v>3496557.284</v>
      </c>
      <c r="G817" s="166">
        <f t="shared" si="2"/>
        <v>2010.520438</v>
      </c>
      <c r="H817" s="167">
        <f t="shared" si="3"/>
        <v>208625.364</v>
      </c>
      <c r="I817" s="168">
        <f t="shared" si="6"/>
        <v>358394.8805</v>
      </c>
      <c r="J817" s="1"/>
      <c r="K817" s="164"/>
      <c r="L817" s="164">
        <v>714.0</v>
      </c>
      <c r="M817" s="165">
        <f t="shared" si="7"/>
        <v>3287931.92</v>
      </c>
      <c r="N817" s="166">
        <f t="shared" si="8"/>
        <v>1900.324241</v>
      </c>
      <c r="O817" s="169">
        <f t="shared" si="9"/>
        <v>347142.0471</v>
      </c>
      <c r="P817" s="171">
        <f t="shared" si="550"/>
        <v>348552.9062</v>
      </c>
      <c r="Q817" s="172"/>
      <c r="R817" s="172"/>
    </row>
    <row r="818" ht="14.25" customHeight="1" outlineLevel="1">
      <c r="A818" s="1"/>
      <c r="B818" s="163"/>
      <c r="C818" s="163"/>
      <c r="D818" s="164"/>
      <c r="E818" s="164">
        <v>715.0</v>
      </c>
      <c r="F818" s="165">
        <f t="shared" si="5"/>
        <v>3514796.369</v>
      </c>
      <c r="G818" s="166">
        <f t="shared" si="2"/>
        <v>2021.007912</v>
      </c>
      <c r="H818" s="167">
        <f t="shared" si="3"/>
        <v>209694.1429</v>
      </c>
      <c r="I818" s="168">
        <f t="shared" si="6"/>
        <v>360415.8884</v>
      </c>
      <c r="J818" s="1"/>
      <c r="K818" s="164"/>
      <c r="L818" s="164">
        <v>715.0</v>
      </c>
      <c r="M818" s="165">
        <f t="shared" si="7"/>
        <v>3305102.226</v>
      </c>
      <c r="N818" s="166">
        <f t="shared" si="8"/>
        <v>1910.197167</v>
      </c>
      <c r="O818" s="169">
        <f t="shared" si="9"/>
        <v>349052.2443</v>
      </c>
      <c r="P818" s="171">
        <f t="shared" si="550"/>
        <v>349041.0755</v>
      </c>
      <c r="Q818" s="172"/>
      <c r="R818" s="172"/>
    </row>
    <row r="819" ht="14.25" customHeight="1" outlineLevel="1">
      <c r="A819" s="1"/>
      <c r="B819" s="163"/>
      <c r="C819" s="163"/>
      <c r="D819" s="164"/>
      <c r="E819" s="164">
        <v>716.0</v>
      </c>
      <c r="F819" s="165">
        <f t="shared" si="5"/>
        <v>3533128.033</v>
      </c>
      <c r="G819" s="166">
        <f t="shared" si="2"/>
        <v>2031.548619</v>
      </c>
      <c r="H819" s="167">
        <f t="shared" si="3"/>
        <v>210768.3467</v>
      </c>
      <c r="I819" s="168">
        <f t="shared" si="6"/>
        <v>362447.437</v>
      </c>
      <c r="J819" s="1"/>
      <c r="K819" s="164"/>
      <c r="L819" s="164">
        <v>716.0</v>
      </c>
      <c r="M819" s="165">
        <f t="shared" si="7"/>
        <v>3322359.686</v>
      </c>
      <c r="N819" s="166">
        <f t="shared" si="8"/>
        <v>1920.120206</v>
      </c>
      <c r="O819" s="169">
        <f t="shared" si="9"/>
        <v>350972.3645</v>
      </c>
      <c r="P819" s="171">
        <f t="shared" si="550"/>
        <v>349529.2448</v>
      </c>
      <c r="Q819" s="172"/>
      <c r="R819" s="172"/>
    </row>
    <row r="820" ht="14.25" customHeight="1" outlineLevel="1">
      <c r="A820" s="1"/>
      <c r="B820" s="163"/>
      <c r="C820" s="163"/>
      <c r="D820" s="164"/>
      <c r="E820" s="164">
        <v>717.0</v>
      </c>
      <c r="F820" s="165">
        <f t="shared" si="5"/>
        <v>3551552.747</v>
      </c>
      <c r="G820" s="166">
        <f t="shared" si="2"/>
        <v>2042.142829</v>
      </c>
      <c r="H820" s="167">
        <f t="shared" si="3"/>
        <v>211848.0032</v>
      </c>
      <c r="I820" s="168">
        <f t="shared" si="6"/>
        <v>364489.5799</v>
      </c>
      <c r="J820" s="1"/>
      <c r="K820" s="164"/>
      <c r="L820" s="164">
        <v>717.0</v>
      </c>
      <c r="M820" s="165">
        <f t="shared" si="7"/>
        <v>3339704.744</v>
      </c>
      <c r="N820" s="166">
        <f t="shared" si="8"/>
        <v>1930.093614</v>
      </c>
      <c r="O820" s="169">
        <f t="shared" si="9"/>
        <v>352902.4581</v>
      </c>
      <c r="P820" s="171">
        <f t="shared" si="550"/>
        <v>350017.4142</v>
      </c>
      <c r="Q820" s="172"/>
      <c r="R820" s="172"/>
    </row>
    <row r="821" ht="14.25" customHeight="1" outlineLevel="1">
      <c r="A821" s="1"/>
      <c r="B821" s="163"/>
      <c r="C821" s="163"/>
      <c r="D821" s="164"/>
      <c r="E821" s="164">
        <v>718.0</v>
      </c>
      <c r="F821" s="165">
        <f t="shared" si="5"/>
        <v>3570070.983</v>
      </c>
      <c r="G821" s="166">
        <f t="shared" si="2"/>
        <v>2052.790815</v>
      </c>
      <c r="H821" s="167">
        <f t="shared" si="3"/>
        <v>212933.1398</v>
      </c>
      <c r="I821" s="168">
        <f t="shared" si="6"/>
        <v>366542.3707</v>
      </c>
      <c r="J821" s="1"/>
      <c r="K821" s="164"/>
      <c r="L821" s="164">
        <v>718.0</v>
      </c>
      <c r="M821" s="165">
        <f t="shared" si="7"/>
        <v>3357137.843</v>
      </c>
      <c r="N821" s="166">
        <f t="shared" si="8"/>
        <v>1940.117646</v>
      </c>
      <c r="O821" s="169">
        <f t="shared" si="9"/>
        <v>354842.5758</v>
      </c>
      <c r="P821" s="171">
        <f t="shared" si="550"/>
        <v>350505.5835</v>
      </c>
      <c r="Q821" s="172"/>
      <c r="R821" s="172"/>
    </row>
    <row r="822" ht="14.25" customHeight="1" outlineLevel="1">
      <c r="A822" s="1"/>
      <c r="B822" s="163"/>
      <c r="C822" s="163"/>
      <c r="D822" s="164"/>
      <c r="E822" s="164">
        <v>719.0</v>
      </c>
      <c r="F822" s="165">
        <f t="shared" si="5"/>
        <v>3588683.215</v>
      </c>
      <c r="G822" s="166">
        <f t="shared" si="2"/>
        <v>2063.492849</v>
      </c>
      <c r="H822" s="167">
        <f t="shared" si="3"/>
        <v>214023.7845</v>
      </c>
      <c r="I822" s="168">
        <f t="shared" si="6"/>
        <v>368605.8635</v>
      </c>
      <c r="J822" s="1"/>
      <c r="K822" s="164"/>
      <c r="L822" s="164">
        <v>719.0</v>
      </c>
      <c r="M822" s="165">
        <f t="shared" si="7"/>
        <v>3374659.43</v>
      </c>
      <c r="N822" s="166">
        <f t="shared" si="8"/>
        <v>1950.192559</v>
      </c>
      <c r="O822" s="169">
        <f t="shared" si="9"/>
        <v>356792.7683</v>
      </c>
      <c r="P822" s="171">
        <f t="shared" si="550"/>
        <v>350993.7528</v>
      </c>
      <c r="Q822" s="172"/>
      <c r="R822" s="172"/>
    </row>
    <row r="823" ht="14.25" customHeight="1" outlineLevel="1">
      <c r="A823" s="1"/>
      <c r="B823" s="163"/>
      <c r="C823" s="163"/>
      <c r="D823" s="164">
        <v>60.0</v>
      </c>
      <c r="E823" s="164">
        <v>720.0</v>
      </c>
      <c r="F823" s="165">
        <f t="shared" si="5"/>
        <v>3607389.921</v>
      </c>
      <c r="G823" s="166">
        <f t="shared" si="2"/>
        <v>2074.249204</v>
      </c>
      <c r="H823" s="167">
        <f t="shared" si="3"/>
        <v>215119.9652</v>
      </c>
      <c r="I823" s="168">
        <f t="shared" si="6"/>
        <v>370680.1127</v>
      </c>
      <c r="J823" s="1"/>
      <c r="K823" s="164">
        <v>60.0</v>
      </c>
      <c r="L823" s="164">
        <v>720.0</v>
      </c>
      <c r="M823" s="165">
        <f t="shared" si="7"/>
        <v>3392269.956</v>
      </c>
      <c r="N823" s="166">
        <f t="shared" si="8"/>
        <v>1960.318611</v>
      </c>
      <c r="O823" s="169">
        <f t="shared" si="9"/>
        <v>358753.0869</v>
      </c>
      <c r="P823" s="171">
        <f t="shared" si="550"/>
        <v>351481.9222</v>
      </c>
      <c r="Q823" s="172"/>
      <c r="R823" s="172"/>
    </row>
    <row r="824" ht="14.25" customHeight="1">
      <c r="A824" s="1"/>
      <c r="B824" s="163"/>
      <c r="C824" s="163"/>
      <c r="D824" s="163"/>
      <c r="E824" s="163"/>
      <c r="F824" s="163"/>
      <c r="G824" s="163"/>
      <c r="H824" s="173"/>
      <c r="I824" s="163"/>
      <c r="J824" s="163"/>
      <c r="K824" s="163"/>
      <c r="L824" s="163"/>
      <c r="M824" s="163"/>
      <c r="N824" s="163"/>
      <c r="O824" s="163"/>
      <c r="P824" s="171">
        <f t="shared" si="550"/>
        <v>351970.0915</v>
      </c>
      <c r="Q824" s="172"/>
      <c r="R824" s="172"/>
    </row>
    <row r="825" ht="14.25" customHeight="1">
      <c r="A825" s="1"/>
      <c r="B825" s="163"/>
      <c r="C825" s="163"/>
      <c r="D825" s="163"/>
      <c r="E825" s="163"/>
      <c r="F825" s="163"/>
      <c r="G825" s="163"/>
      <c r="H825" s="163"/>
      <c r="I825" s="163"/>
      <c r="J825" s="163"/>
      <c r="K825" s="163"/>
      <c r="L825" s="163"/>
      <c r="M825" s="163"/>
      <c r="N825" s="163"/>
      <c r="O825" s="163"/>
      <c r="P825" s="174"/>
      <c r="Q825" s="172"/>
      <c r="R825" s="172"/>
    </row>
    <row r="826" ht="14.25" customHeight="1">
      <c r="A826" s="1"/>
      <c r="B826" s="163"/>
      <c r="C826" s="163"/>
      <c r="D826" s="163"/>
      <c r="E826" s="163"/>
      <c r="F826" s="163"/>
      <c r="G826" s="163"/>
      <c r="H826" s="163"/>
      <c r="I826" s="163"/>
      <c r="J826" s="163"/>
      <c r="K826" s="163"/>
      <c r="L826" s="163"/>
      <c r="M826" s="163"/>
      <c r="N826" s="163"/>
      <c r="O826" s="163"/>
      <c r="P826" s="174"/>
      <c r="Q826" s="172"/>
      <c r="R826" s="172"/>
    </row>
    <row r="827" ht="14.25" customHeight="1">
      <c r="A827" s="1"/>
      <c r="B827" s="163"/>
      <c r="C827" s="163"/>
      <c r="D827" s="163"/>
      <c r="E827" s="163"/>
      <c r="F827" s="163"/>
      <c r="G827" s="163"/>
      <c r="H827" s="163"/>
      <c r="I827" s="163"/>
      <c r="J827" s="163"/>
      <c r="K827" s="163"/>
      <c r="L827" s="163"/>
      <c r="M827" s="163"/>
      <c r="N827" s="163"/>
      <c r="O827" s="163"/>
      <c r="P827" s="174"/>
      <c r="Q827" s="172"/>
      <c r="R827" s="172"/>
    </row>
    <row r="828" ht="14.25" customHeight="1">
      <c r="A828" s="1"/>
      <c r="B828" s="163"/>
      <c r="C828" s="163"/>
      <c r="D828" s="163"/>
      <c r="E828" s="163"/>
      <c r="F828" s="163"/>
      <c r="G828" s="163"/>
      <c r="H828" s="163"/>
      <c r="I828" s="163"/>
      <c r="J828" s="163"/>
      <c r="K828" s="163"/>
      <c r="L828" s="163"/>
      <c r="M828" s="163"/>
      <c r="N828" s="163"/>
      <c r="O828" s="163"/>
      <c r="P828" s="174"/>
      <c r="Q828" s="172"/>
      <c r="R828" s="172"/>
    </row>
    <row r="829" ht="14.25" customHeight="1">
      <c r="A829" s="1"/>
      <c r="B829" s="163"/>
      <c r="C829" s="163"/>
      <c r="D829" s="163"/>
      <c r="E829" s="163"/>
      <c r="F829" s="163"/>
      <c r="G829" s="163"/>
      <c r="H829" s="163"/>
      <c r="I829" s="163"/>
      <c r="J829" s="163"/>
      <c r="K829" s="163"/>
      <c r="L829" s="163"/>
      <c r="M829" s="163"/>
      <c r="N829" s="163"/>
      <c r="O829" s="163"/>
      <c r="P829" s="174"/>
      <c r="Q829" s="172"/>
      <c r="R829" s="172"/>
    </row>
    <row r="830" ht="14.25" customHeight="1">
      <c r="A830" s="1"/>
      <c r="B830" s="163"/>
      <c r="C830" s="163"/>
      <c r="D830" s="163"/>
      <c r="E830" s="163"/>
      <c r="F830" s="163"/>
      <c r="G830" s="163"/>
      <c r="H830" s="163"/>
      <c r="I830" s="163"/>
      <c r="J830" s="163"/>
      <c r="K830" s="163"/>
      <c r="L830" s="163"/>
      <c r="M830" s="163"/>
      <c r="N830" s="163"/>
      <c r="O830" s="163"/>
      <c r="P830" s="174"/>
      <c r="Q830" s="172"/>
      <c r="R830" s="172"/>
    </row>
    <row r="831" ht="14.25" customHeight="1">
      <c r="A831" s="1"/>
      <c r="B831" s="163"/>
      <c r="C831" s="163"/>
      <c r="D831" s="163"/>
      <c r="E831" s="163"/>
      <c r="F831" s="163"/>
      <c r="G831" s="163"/>
      <c r="H831" s="163"/>
      <c r="I831" s="163"/>
      <c r="J831" s="163"/>
      <c r="K831" s="163"/>
      <c r="L831" s="163"/>
      <c r="M831" s="163"/>
      <c r="N831" s="163"/>
      <c r="O831" s="163"/>
      <c r="P831" s="174"/>
      <c r="Q831" s="172"/>
      <c r="R831" s="172"/>
    </row>
    <row r="832" ht="14.25" customHeight="1">
      <c r="A832" s="1"/>
      <c r="B832" s="163"/>
      <c r="C832" s="163"/>
      <c r="D832" s="163"/>
      <c r="E832" s="163"/>
      <c r="F832" s="163"/>
      <c r="G832" s="163"/>
      <c r="H832" s="163"/>
      <c r="I832" s="163"/>
      <c r="J832" s="163"/>
      <c r="K832" s="163"/>
      <c r="L832" s="163"/>
      <c r="M832" s="163"/>
      <c r="N832" s="163"/>
      <c r="O832" s="163"/>
      <c r="P832" s="174"/>
      <c r="Q832" s="172"/>
      <c r="R832" s="172"/>
    </row>
    <row r="833" ht="14.25" customHeight="1">
      <c r="A833" s="1"/>
      <c r="B833" s="163"/>
      <c r="C833" s="163"/>
      <c r="D833" s="163"/>
      <c r="E833" s="163"/>
      <c r="F833" s="163"/>
      <c r="G833" s="163"/>
      <c r="H833" s="163"/>
      <c r="I833" s="163"/>
      <c r="J833" s="163"/>
      <c r="K833" s="163"/>
      <c r="L833" s="163"/>
      <c r="M833" s="163"/>
      <c r="N833" s="163"/>
      <c r="O833" s="163"/>
      <c r="P833" s="163"/>
      <c r="Q833" s="1"/>
      <c r="R833" s="1"/>
    </row>
    <row r="834" ht="14.25" customHeight="1">
      <c r="A834" s="1"/>
      <c r="B834" s="163"/>
      <c r="C834" s="163"/>
      <c r="D834" s="163"/>
      <c r="E834" s="163"/>
      <c r="F834" s="163"/>
      <c r="G834" s="163"/>
      <c r="H834" s="163"/>
      <c r="I834" s="163"/>
      <c r="J834" s="163"/>
      <c r="K834" s="163"/>
      <c r="L834" s="163"/>
      <c r="M834" s="163"/>
      <c r="N834" s="163"/>
      <c r="O834" s="163"/>
      <c r="P834" s="163"/>
      <c r="Q834" s="1"/>
      <c r="R834" s="1"/>
    </row>
    <row r="835" ht="14.25" customHeight="1">
      <c r="A835" s="1"/>
      <c r="B835" s="163"/>
      <c r="C835" s="163"/>
      <c r="D835" s="163"/>
      <c r="E835" s="163"/>
      <c r="F835" s="163"/>
      <c r="G835" s="163"/>
      <c r="H835" s="163"/>
      <c r="I835" s="163"/>
      <c r="J835" s="163"/>
      <c r="K835" s="163"/>
      <c r="L835" s="163"/>
      <c r="M835" s="163"/>
      <c r="N835" s="163"/>
      <c r="O835" s="163"/>
      <c r="P835" s="163"/>
      <c r="Q835" s="1"/>
      <c r="R835" s="1"/>
    </row>
    <row r="836" ht="14.25" customHeight="1">
      <c r="A836" s="1"/>
      <c r="B836" s="163"/>
      <c r="C836" s="163"/>
      <c r="D836" s="163"/>
      <c r="E836" s="163"/>
      <c r="F836" s="163"/>
      <c r="G836" s="163"/>
      <c r="H836" s="163"/>
      <c r="I836" s="163"/>
      <c r="J836" s="163"/>
      <c r="K836" s="163"/>
      <c r="L836" s="163"/>
      <c r="M836" s="163"/>
      <c r="N836" s="163"/>
      <c r="O836" s="163"/>
      <c r="P836" s="163"/>
      <c r="Q836" s="1"/>
      <c r="R836" s="1"/>
    </row>
    <row r="837" ht="14.25" customHeight="1">
      <c r="A837" s="1"/>
      <c r="B837" s="163"/>
      <c r="C837" s="163"/>
      <c r="D837" s="163"/>
      <c r="E837" s="163"/>
      <c r="F837" s="163"/>
      <c r="G837" s="163"/>
      <c r="H837" s="163"/>
      <c r="I837" s="163"/>
      <c r="J837" s="163"/>
      <c r="K837" s="163"/>
      <c r="L837" s="163"/>
      <c r="M837" s="163"/>
      <c r="N837" s="163"/>
      <c r="O837" s="163"/>
      <c r="P837" s="163"/>
      <c r="Q837" s="1"/>
      <c r="R837" s="1"/>
    </row>
    <row r="838" ht="14.25" customHeight="1">
      <c r="A838" s="1"/>
      <c r="B838" s="163"/>
      <c r="C838" s="163"/>
      <c r="D838" s="163"/>
      <c r="E838" s="163"/>
      <c r="F838" s="163"/>
      <c r="G838" s="163"/>
      <c r="H838" s="163"/>
      <c r="I838" s="163"/>
      <c r="J838" s="163"/>
      <c r="K838" s="163"/>
      <c r="L838" s="163"/>
      <c r="M838" s="163"/>
      <c r="N838" s="163"/>
      <c r="O838" s="163"/>
      <c r="P838" s="163"/>
      <c r="Q838" s="1"/>
      <c r="R838" s="1"/>
    </row>
    <row r="839" ht="14.25" customHeight="1">
      <c r="A839" s="1"/>
      <c r="B839" s="163"/>
      <c r="C839" s="163"/>
      <c r="D839" s="163"/>
      <c r="E839" s="163"/>
      <c r="F839" s="163"/>
      <c r="G839" s="163"/>
      <c r="H839" s="163"/>
      <c r="I839" s="163"/>
      <c r="J839" s="163"/>
      <c r="K839" s="163"/>
      <c r="L839" s="163"/>
      <c r="M839" s="163"/>
      <c r="N839" s="163"/>
      <c r="O839" s="163"/>
      <c r="P839" s="163"/>
      <c r="Q839" s="1"/>
      <c r="R839" s="1"/>
    </row>
    <row r="840" ht="14.25" customHeight="1">
      <c r="A840" s="1"/>
      <c r="B840" s="163"/>
      <c r="C840" s="163"/>
      <c r="D840" s="163"/>
      <c r="E840" s="163"/>
      <c r="F840" s="163"/>
      <c r="G840" s="163"/>
      <c r="H840" s="163"/>
      <c r="I840" s="163"/>
      <c r="J840" s="163"/>
      <c r="K840" s="163"/>
      <c r="L840" s="163"/>
      <c r="M840" s="163"/>
      <c r="N840" s="163"/>
      <c r="O840" s="163"/>
      <c r="P840" s="163"/>
      <c r="Q840" s="1"/>
      <c r="R840" s="1"/>
    </row>
    <row r="841" ht="14.25" customHeight="1">
      <c r="A841" s="1"/>
      <c r="B841" s="163"/>
      <c r="C841" s="163"/>
      <c r="D841" s="163"/>
      <c r="E841" s="163"/>
      <c r="F841" s="163"/>
      <c r="G841" s="163"/>
      <c r="H841" s="163"/>
      <c r="I841" s="163"/>
      <c r="J841" s="163"/>
      <c r="K841" s="163"/>
      <c r="L841" s="163"/>
      <c r="M841" s="163"/>
      <c r="N841" s="163"/>
      <c r="O841" s="163"/>
      <c r="P841" s="163"/>
      <c r="Q841" s="1"/>
      <c r="R841" s="1"/>
    </row>
    <row r="842" ht="14.25" customHeight="1">
      <c r="A842" s="1"/>
      <c r="B842" s="163"/>
      <c r="C842" s="163"/>
      <c r="D842" s="163"/>
      <c r="E842" s="163"/>
      <c r="F842" s="163"/>
      <c r="G842" s="163"/>
      <c r="H842" s="163"/>
      <c r="I842" s="163"/>
      <c r="J842" s="163"/>
      <c r="K842" s="163"/>
      <c r="L842" s="163"/>
      <c r="M842" s="163"/>
      <c r="N842" s="163"/>
      <c r="O842" s="163"/>
      <c r="P842" s="163"/>
      <c r="Q842" s="1"/>
      <c r="R842" s="1"/>
    </row>
    <row r="843" ht="14.25" customHeight="1">
      <c r="A843" s="1"/>
      <c r="B843" s="163"/>
      <c r="C843" s="163"/>
      <c r="D843" s="163"/>
      <c r="E843" s="163"/>
      <c r="F843" s="163"/>
      <c r="G843" s="163"/>
      <c r="H843" s="163"/>
      <c r="I843" s="163"/>
      <c r="J843" s="163"/>
      <c r="K843" s="163"/>
      <c r="L843" s="163"/>
      <c r="M843" s="163"/>
      <c r="N843" s="163"/>
      <c r="O843" s="163"/>
      <c r="P843" s="163"/>
      <c r="Q843" s="1"/>
      <c r="R843" s="1"/>
    </row>
    <row r="844" ht="14.25" customHeight="1">
      <c r="A844" s="1"/>
      <c r="B844" s="163"/>
      <c r="C844" s="163"/>
      <c r="D844" s="163"/>
      <c r="E844" s="163"/>
      <c r="F844" s="163"/>
      <c r="G844" s="163"/>
      <c r="H844" s="163"/>
      <c r="I844" s="163"/>
      <c r="J844" s="163"/>
      <c r="K844" s="163"/>
      <c r="L844" s="163"/>
      <c r="M844" s="163"/>
      <c r="N844" s="163"/>
      <c r="O844" s="163"/>
      <c r="P844" s="163"/>
      <c r="Q844" s="1"/>
      <c r="R844" s="1"/>
    </row>
    <row r="845" ht="14.25" customHeight="1">
      <c r="A845" s="1"/>
      <c r="B845" s="163"/>
      <c r="C845" s="163"/>
      <c r="D845" s="163"/>
      <c r="E845" s="163"/>
      <c r="F845" s="163"/>
      <c r="G845" s="163"/>
      <c r="H845" s="163"/>
      <c r="I845" s="163"/>
      <c r="J845" s="163"/>
      <c r="K845" s="163"/>
      <c r="L845" s="163"/>
      <c r="M845" s="163"/>
      <c r="N845" s="163"/>
      <c r="O845" s="163"/>
      <c r="P845" s="163"/>
      <c r="Q845" s="1"/>
      <c r="R845" s="1"/>
    </row>
    <row r="846" ht="14.25" customHeight="1">
      <c r="A846" s="1"/>
      <c r="B846" s="163"/>
      <c r="C846" s="163"/>
      <c r="D846" s="163"/>
      <c r="E846" s="163"/>
      <c r="F846" s="163"/>
      <c r="G846" s="163"/>
      <c r="H846" s="163"/>
      <c r="I846" s="163"/>
      <c r="J846" s="163"/>
      <c r="K846" s="163"/>
      <c r="L846" s="163"/>
      <c r="M846" s="163"/>
      <c r="N846" s="163"/>
      <c r="O846" s="163"/>
      <c r="P846" s="163"/>
      <c r="Q846" s="1"/>
      <c r="R846" s="1"/>
    </row>
    <row r="847" ht="14.25" customHeight="1">
      <c r="A847" s="1"/>
      <c r="B847" s="163"/>
      <c r="C847" s="163"/>
      <c r="D847" s="163"/>
      <c r="E847" s="163"/>
      <c r="F847" s="163"/>
      <c r="G847" s="163"/>
      <c r="H847" s="163"/>
      <c r="I847" s="163"/>
      <c r="J847" s="163"/>
      <c r="K847" s="163"/>
      <c r="L847" s="163"/>
      <c r="M847" s="163"/>
      <c r="N847" s="163"/>
      <c r="O847" s="163"/>
      <c r="P847" s="163"/>
      <c r="Q847" s="1"/>
      <c r="R847" s="1"/>
    </row>
    <row r="848" ht="14.25" customHeight="1">
      <c r="A848" s="1"/>
      <c r="B848" s="163"/>
      <c r="C848" s="163"/>
      <c r="D848" s="163"/>
      <c r="E848" s="163"/>
      <c r="F848" s="163"/>
      <c r="G848" s="163"/>
      <c r="H848" s="163"/>
      <c r="I848" s="163"/>
      <c r="J848" s="163"/>
      <c r="K848" s="163"/>
      <c r="L848" s="163"/>
      <c r="M848" s="163"/>
      <c r="N848" s="163"/>
      <c r="O848" s="163"/>
      <c r="P848" s="163"/>
      <c r="Q848" s="1"/>
      <c r="R848" s="1"/>
    </row>
    <row r="849" ht="14.25" customHeight="1">
      <c r="A849" s="1"/>
      <c r="B849" s="163"/>
      <c r="C849" s="163"/>
      <c r="D849" s="163"/>
      <c r="E849" s="163"/>
      <c r="F849" s="163"/>
      <c r="G849" s="163"/>
      <c r="H849" s="163"/>
      <c r="I849" s="163"/>
      <c r="J849" s="163"/>
      <c r="K849" s="163"/>
      <c r="L849" s="163"/>
      <c r="M849" s="163"/>
      <c r="N849" s="163"/>
      <c r="O849" s="163"/>
      <c r="P849" s="163"/>
      <c r="Q849" s="1"/>
      <c r="R849" s="1"/>
    </row>
    <row r="850" ht="14.25" customHeight="1">
      <c r="A850" s="1"/>
      <c r="B850" s="163"/>
      <c r="C850" s="163"/>
      <c r="D850" s="163"/>
      <c r="E850" s="163"/>
      <c r="F850" s="163"/>
      <c r="G850" s="163"/>
      <c r="H850" s="163"/>
      <c r="I850" s="163"/>
      <c r="J850" s="163"/>
      <c r="K850" s="163"/>
      <c r="L850" s="163"/>
      <c r="M850" s="163"/>
      <c r="N850" s="163"/>
      <c r="O850" s="163"/>
      <c r="P850" s="163"/>
      <c r="Q850" s="1"/>
      <c r="R850" s="1"/>
    </row>
    <row r="851" ht="14.25" customHeight="1">
      <c r="A851" s="1"/>
      <c r="B851" s="163"/>
      <c r="C851" s="163"/>
      <c r="D851" s="163"/>
      <c r="E851" s="163"/>
      <c r="F851" s="163"/>
      <c r="G851" s="163"/>
      <c r="H851" s="163"/>
      <c r="I851" s="163"/>
      <c r="J851" s="163"/>
      <c r="K851" s="163"/>
      <c r="L851" s="163"/>
      <c r="M851" s="163"/>
      <c r="N851" s="163"/>
      <c r="O851" s="163"/>
      <c r="P851" s="163"/>
      <c r="Q851" s="1"/>
      <c r="R851" s="1"/>
    </row>
    <row r="852" ht="14.25" customHeight="1">
      <c r="A852" s="1"/>
      <c r="B852" s="163"/>
      <c r="C852" s="163"/>
      <c r="D852" s="163"/>
      <c r="E852" s="163"/>
      <c r="F852" s="163"/>
      <c r="G852" s="163"/>
      <c r="H852" s="163"/>
      <c r="I852" s="163"/>
      <c r="J852" s="163"/>
      <c r="K852" s="163"/>
      <c r="L852" s="163"/>
      <c r="M852" s="163"/>
      <c r="N852" s="163"/>
      <c r="O852" s="163"/>
      <c r="P852" s="163"/>
      <c r="Q852" s="1"/>
      <c r="R852" s="1"/>
    </row>
    <row r="853" ht="14.25" customHeight="1">
      <c r="A853" s="1"/>
      <c r="B853" s="163"/>
      <c r="C853" s="163"/>
      <c r="D853" s="163"/>
      <c r="E853" s="163"/>
      <c r="F853" s="163"/>
      <c r="G853" s="163"/>
      <c r="H853" s="163"/>
      <c r="I853" s="163"/>
      <c r="J853" s="163"/>
      <c r="K853" s="163"/>
      <c r="L853" s="163"/>
      <c r="M853" s="163"/>
      <c r="N853" s="163"/>
      <c r="O853" s="163"/>
      <c r="P853" s="163"/>
      <c r="Q853" s="1"/>
      <c r="R853" s="1"/>
    </row>
    <row r="854" ht="14.25" customHeight="1">
      <c r="A854" s="1"/>
      <c r="B854" s="163"/>
      <c r="C854" s="163"/>
      <c r="D854" s="163"/>
      <c r="E854" s="163"/>
      <c r="F854" s="163"/>
      <c r="G854" s="163"/>
      <c r="H854" s="163"/>
      <c r="I854" s="163"/>
      <c r="J854" s="163"/>
      <c r="K854" s="163"/>
      <c r="L854" s="163"/>
      <c r="M854" s="163"/>
      <c r="N854" s="163"/>
      <c r="O854" s="163"/>
      <c r="P854" s="163"/>
      <c r="Q854" s="1"/>
      <c r="R854" s="1"/>
    </row>
    <row r="855" ht="14.25" customHeight="1">
      <c r="A855" s="1"/>
      <c r="B855" s="163"/>
      <c r="C855" s="163"/>
      <c r="D855" s="163"/>
      <c r="E855" s="163"/>
      <c r="F855" s="163"/>
      <c r="G855" s="163"/>
      <c r="H855" s="163"/>
      <c r="I855" s="163"/>
      <c r="J855" s="163"/>
      <c r="K855" s="163"/>
      <c r="L855" s="163"/>
      <c r="M855" s="163"/>
      <c r="N855" s="163"/>
      <c r="O855" s="163"/>
      <c r="P855" s="163"/>
      <c r="Q855" s="1"/>
      <c r="R855" s="1"/>
    </row>
    <row r="856" ht="14.25" customHeight="1">
      <c r="A856" s="1"/>
      <c r="B856" s="163"/>
      <c r="C856" s="163"/>
      <c r="D856" s="163"/>
      <c r="E856" s="163"/>
      <c r="F856" s="163"/>
      <c r="G856" s="163"/>
      <c r="H856" s="163"/>
      <c r="I856" s="163"/>
      <c r="J856" s="163"/>
      <c r="K856" s="163"/>
      <c r="L856" s="163"/>
      <c r="M856" s="163"/>
      <c r="N856" s="163"/>
      <c r="O856" s="163"/>
      <c r="P856" s="163"/>
      <c r="Q856" s="1"/>
      <c r="R856" s="1"/>
    </row>
    <row r="857" ht="14.25" customHeight="1">
      <c r="A857" s="1"/>
      <c r="B857" s="163"/>
      <c r="C857" s="163"/>
      <c r="D857" s="163"/>
      <c r="E857" s="163"/>
      <c r="F857" s="163"/>
      <c r="G857" s="163"/>
      <c r="H857" s="163"/>
      <c r="I857" s="163"/>
      <c r="J857" s="163"/>
      <c r="K857" s="163"/>
      <c r="L857" s="163"/>
      <c r="M857" s="163"/>
      <c r="N857" s="163"/>
      <c r="O857" s="163"/>
      <c r="P857" s="163"/>
      <c r="Q857" s="1"/>
      <c r="R857" s="1"/>
    </row>
    <row r="858" ht="14.25" customHeight="1">
      <c r="A858" s="1"/>
      <c r="B858" s="163"/>
      <c r="C858" s="163"/>
      <c r="D858" s="163"/>
      <c r="E858" s="163"/>
      <c r="F858" s="163"/>
      <c r="G858" s="163"/>
      <c r="H858" s="163"/>
      <c r="I858" s="163"/>
      <c r="J858" s="163"/>
      <c r="K858" s="163"/>
      <c r="L858" s="163"/>
      <c r="M858" s="163"/>
      <c r="N858" s="163"/>
      <c r="O858" s="163"/>
      <c r="P858" s="163"/>
      <c r="Q858" s="1"/>
      <c r="R858" s="1"/>
    </row>
    <row r="859" ht="14.25" customHeight="1">
      <c r="A859" s="1"/>
      <c r="B859" s="163"/>
      <c r="C859" s="163"/>
      <c r="D859" s="163"/>
      <c r="E859" s="163"/>
      <c r="F859" s="163"/>
      <c r="G859" s="163"/>
      <c r="H859" s="163"/>
      <c r="I859" s="163"/>
      <c r="J859" s="163"/>
      <c r="K859" s="163"/>
      <c r="L859" s="163"/>
      <c r="M859" s="163"/>
      <c r="N859" s="163"/>
      <c r="O859" s="163"/>
      <c r="P859" s="163"/>
      <c r="Q859" s="1"/>
      <c r="R859" s="1"/>
    </row>
    <row r="860" ht="14.25" customHeight="1">
      <c r="A860" s="1"/>
      <c r="B860" s="163"/>
      <c r="C860" s="163"/>
      <c r="D860" s="163"/>
      <c r="E860" s="163"/>
      <c r="F860" s="163"/>
      <c r="G860" s="163"/>
      <c r="H860" s="163"/>
      <c r="I860" s="163"/>
      <c r="J860" s="163"/>
      <c r="K860" s="163"/>
      <c r="L860" s="163"/>
      <c r="M860" s="163"/>
      <c r="N860" s="163"/>
      <c r="O860" s="163"/>
      <c r="P860" s="163"/>
      <c r="Q860" s="1"/>
      <c r="R860" s="1"/>
    </row>
    <row r="861" ht="14.25" customHeight="1">
      <c r="A861" s="1"/>
      <c r="B861" s="163"/>
      <c r="C861" s="163"/>
      <c r="D861" s="163"/>
      <c r="E861" s="163"/>
      <c r="F861" s="163"/>
      <c r="G861" s="163"/>
      <c r="H861" s="163"/>
      <c r="I861" s="163"/>
      <c r="J861" s="163"/>
      <c r="K861" s="163"/>
      <c r="L861" s="163"/>
      <c r="M861" s="163"/>
      <c r="N861" s="163"/>
      <c r="O861" s="163"/>
      <c r="P861" s="163"/>
      <c r="Q861" s="1"/>
      <c r="R861" s="1"/>
    </row>
    <row r="862" ht="14.25" customHeight="1">
      <c r="A862" s="1"/>
      <c r="B862" s="163"/>
      <c r="C862" s="163"/>
      <c r="D862" s="163"/>
      <c r="E862" s="163"/>
      <c r="F862" s="163"/>
      <c r="G862" s="163"/>
      <c r="H862" s="163"/>
      <c r="I862" s="163"/>
      <c r="J862" s="163"/>
      <c r="K862" s="163"/>
      <c r="L862" s="163"/>
      <c r="M862" s="163"/>
      <c r="N862" s="163"/>
      <c r="O862" s="163"/>
      <c r="P862" s="163"/>
      <c r="Q862" s="1"/>
      <c r="R862" s="1"/>
    </row>
    <row r="863" ht="14.25" customHeight="1">
      <c r="A863" s="1"/>
      <c r="B863" s="163"/>
      <c r="C863" s="163"/>
      <c r="D863" s="163"/>
      <c r="E863" s="163"/>
      <c r="F863" s="163"/>
      <c r="G863" s="163"/>
      <c r="H863" s="163"/>
      <c r="I863" s="163"/>
      <c r="J863" s="163"/>
      <c r="K863" s="163"/>
      <c r="L863" s="163"/>
      <c r="M863" s="163"/>
      <c r="N863" s="163"/>
      <c r="O863" s="163"/>
      <c r="P863" s="163"/>
      <c r="Q863" s="1"/>
      <c r="R863" s="1"/>
    </row>
    <row r="864" ht="14.25" customHeight="1">
      <c r="A864" s="1"/>
      <c r="B864" s="163"/>
      <c r="C864" s="163"/>
      <c r="D864" s="163"/>
      <c r="E864" s="163"/>
      <c r="F864" s="163"/>
      <c r="G864" s="163"/>
      <c r="H864" s="163"/>
      <c r="I864" s="163"/>
      <c r="J864" s="163"/>
      <c r="K864" s="163"/>
      <c r="L864" s="163"/>
      <c r="M864" s="163"/>
      <c r="N864" s="163"/>
      <c r="O864" s="163"/>
      <c r="P864" s="163"/>
      <c r="Q864" s="1"/>
      <c r="R864" s="1"/>
    </row>
    <row r="865" ht="14.25" customHeight="1">
      <c r="A865" s="1"/>
      <c r="B865" s="163"/>
      <c r="C865" s="163"/>
      <c r="D865" s="163"/>
      <c r="E865" s="163"/>
      <c r="F865" s="163"/>
      <c r="G865" s="163"/>
      <c r="H865" s="163"/>
      <c r="I865" s="163"/>
      <c r="J865" s="163"/>
      <c r="K865" s="163"/>
      <c r="L865" s="163"/>
      <c r="M865" s="163"/>
      <c r="N865" s="163"/>
      <c r="O865" s="163"/>
      <c r="P865" s="163"/>
      <c r="Q865" s="1"/>
      <c r="R865" s="1"/>
    </row>
    <row r="866" ht="14.25" customHeight="1">
      <c r="A866" s="1"/>
      <c r="B866" s="163"/>
      <c r="C866" s="163"/>
      <c r="D866" s="163"/>
      <c r="E866" s="163"/>
      <c r="F866" s="163"/>
      <c r="G866" s="163"/>
      <c r="H866" s="163"/>
      <c r="I866" s="163"/>
      <c r="J866" s="163"/>
      <c r="K866" s="163"/>
      <c r="L866" s="163"/>
      <c r="M866" s="163"/>
      <c r="N866" s="163"/>
      <c r="O866" s="163"/>
      <c r="P866" s="163"/>
      <c r="Q866" s="1"/>
      <c r="R866" s="1"/>
    </row>
    <row r="867" ht="14.25" customHeight="1">
      <c r="A867" s="1"/>
      <c r="B867" s="163"/>
      <c r="C867" s="163"/>
      <c r="D867" s="163"/>
      <c r="E867" s="163"/>
      <c r="F867" s="163"/>
      <c r="G867" s="163"/>
      <c r="H867" s="163"/>
      <c r="I867" s="163"/>
      <c r="J867" s="163"/>
      <c r="K867" s="163"/>
      <c r="L867" s="163"/>
      <c r="M867" s="163"/>
      <c r="N867" s="163"/>
      <c r="O867" s="163"/>
      <c r="P867" s="163"/>
      <c r="Q867" s="1"/>
      <c r="R867" s="1"/>
    </row>
    <row r="868" ht="14.25" customHeight="1">
      <c r="A868" s="1"/>
      <c r="B868" s="163"/>
      <c r="C868" s="163"/>
      <c r="D868" s="163"/>
      <c r="E868" s="163"/>
      <c r="F868" s="163"/>
      <c r="G868" s="163"/>
      <c r="H868" s="163"/>
      <c r="I868" s="163"/>
      <c r="J868" s="163"/>
      <c r="K868" s="163"/>
      <c r="L868" s="163"/>
      <c r="M868" s="163"/>
      <c r="N868" s="163"/>
      <c r="O868" s="163"/>
      <c r="P868" s="163"/>
      <c r="Q868" s="1"/>
      <c r="R868" s="1"/>
    </row>
    <row r="869" ht="14.25" customHeight="1">
      <c r="A869" s="1"/>
      <c r="B869" s="163"/>
      <c r="C869" s="163"/>
      <c r="D869" s="163"/>
      <c r="E869" s="163"/>
      <c r="F869" s="163"/>
      <c r="G869" s="163"/>
      <c r="H869" s="163"/>
      <c r="I869" s="163"/>
      <c r="J869" s="163"/>
      <c r="K869" s="163"/>
      <c r="L869" s="163"/>
      <c r="M869" s="163"/>
      <c r="N869" s="163"/>
      <c r="O869" s="163"/>
      <c r="P869" s="163"/>
      <c r="Q869" s="1"/>
      <c r="R869" s="1"/>
    </row>
    <row r="870" ht="14.25" customHeight="1">
      <c r="A870" s="1"/>
      <c r="B870" s="163"/>
      <c r="C870" s="163"/>
      <c r="D870" s="163"/>
      <c r="E870" s="163"/>
      <c r="F870" s="163"/>
      <c r="G870" s="163"/>
      <c r="H870" s="163"/>
      <c r="I870" s="163"/>
      <c r="J870" s="163"/>
      <c r="K870" s="163"/>
      <c r="L870" s="163"/>
      <c r="M870" s="163"/>
      <c r="N870" s="163"/>
      <c r="O870" s="163"/>
      <c r="P870" s="163"/>
      <c r="Q870" s="1"/>
      <c r="R870" s="1"/>
    </row>
    <row r="871" ht="14.25" customHeight="1">
      <c r="A871" s="1"/>
      <c r="B871" s="163"/>
      <c r="C871" s="163"/>
      <c r="D871" s="163"/>
      <c r="E871" s="163"/>
      <c r="F871" s="163"/>
      <c r="G871" s="163"/>
      <c r="H871" s="163"/>
      <c r="I871" s="163"/>
      <c r="J871" s="163"/>
      <c r="K871" s="163"/>
      <c r="L871" s="163"/>
      <c r="M871" s="163"/>
      <c r="N871" s="163"/>
      <c r="O871" s="163"/>
      <c r="P871" s="163"/>
      <c r="Q871" s="1"/>
      <c r="R871" s="1"/>
    </row>
    <row r="872" ht="14.25" customHeight="1">
      <c r="A872" s="1"/>
      <c r="B872" s="163"/>
      <c r="C872" s="163"/>
      <c r="D872" s="163"/>
      <c r="E872" s="163"/>
      <c r="F872" s="163"/>
      <c r="G872" s="163"/>
      <c r="H872" s="163"/>
      <c r="I872" s="163"/>
      <c r="J872" s="163"/>
      <c r="K872" s="163"/>
      <c r="L872" s="163"/>
      <c r="M872" s="163"/>
      <c r="N872" s="163"/>
      <c r="O872" s="163"/>
      <c r="P872" s="163"/>
      <c r="Q872" s="1"/>
      <c r="R872" s="1"/>
    </row>
    <row r="873" ht="14.25" customHeight="1">
      <c r="A873" s="1"/>
      <c r="B873" s="163"/>
      <c r="C873" s="163"/>
      <c r="D873" s="163"/>
      <c r="E873" s="163"/>
      <c r="F873" s="163"/>
      <c r="G873" s="163"/>
      <c r="H873" s="163"/>
      <c r="I873" s="163"/>
      <c r="J873" s="163"/>
      <c r="K873" s="163"/>
      <c r="L873" s="163"/>
      <c r="M873" s="163"/>
      <c r="N873" s="163"/>
      <c r="O873" s="163"/>
      <c r="P873" s="163"/>
      <c r="Q873" s="1"/>
      <c r="R873" s="1"/>
    </row>
    <row r="874" ht="14.25" customHeight="1">
      <c r="A874" s="1"/>
      <c r="B874" s="163"/>
      <c r="C874" s="163"/>
      <c r="D874" s="163"/>
      <c r="E874" s="163"/>
      <c r="F874" s="163"/>
      <c r="G874" s="163"/>
      <c r="H874" s="163"/>
      <c r="I874" s="163"/>
      <c r="J874" s="163"/>
      <c r="K874" s="163"/>
      <c r="L874" s="163"/>
      <c r="M874" s="163"/>
      <c r="N874" s="163"/>
      <c r="O874" s="163"/>
      <c r="P874" s="163"/>
      <c r="Q874" s="1"/>
      <c r="R874" s="1"/>
    </row>
    <row r="875" ht="14.25" customHeight="1">
      <c r="A875" s="1"/>
      <c r="B875" s="163"/>
      <c r="C875" s="163"/>
      <c r="D875" s="163"/>
      <c r="E875" s="163"/>
      <c r="F875" s="163"/>
      <c r="G875" s="163"/>
      <c r="H875" s="163"/>
      <c r="I875" s="163"/>
      <c r="J875" s="163"/>
      <c r="K875" s="163"/>
      <c r="L875" s="163"/>
      <c r="M875" s="163"/>
      <c r="N875" s="163"/>
      <c r="O875" s="163"/>
      <c r="P875" s="163"/>
      <c r="Q875" s="1"/>
      <c r="R875" s="1"/>
    </row>
    <row r="876" ht="14.25" customHeight="1">
      <c r="A876" s="1"/>
      <c r="B876" s="163"/>
      <c r="C876" s="163"/>
      <c r="D876" s="163"/>
      <c r="E876" s="163"/>
      <c r="F876" s="163"/>
      <c r="G876" s="163"/>
      <c r="H876" s="163"/>
      <c r="I876" s="163"/>
      <c r="J876" s="163"/>
      <c r="K876" s="163"/>
      <c r="L876" s="163"/>
      <c r="M876" s="163"/>
      <c r="N876" s="163"/>
      <c r="O876" s="163"/>
      <c r="P876" s="163"/>
      <c r="Q876" s="1"/>
      <c r="R876" s="1"/>
    </row>
    <row r="877" ht="14.25" customHeight="1">
      <c r="A877" s="1"/>
      <c r="B877" s="163"/>
      <c r="C877" s="163"/>
      <c r="D877" s="163"/>
      <c r="E877" s="163"/>
      <c r="F877" s="163"/>
      <c r="G877" s="163"/>
      <c r="H877" s="163"/>
      <c r="I877" s="163"/>
      <c r="J877" s="163"/>
      <c r="K877" s="163"/>
      <c r="L877" s="163"/>
      <c r="M877" s="163"/>
      <c r="N877" s="163"/>
      <c r="O877" s="163"/>
      <c r="P877" s="163"/>
      <c r="Q877" s="1"/>
      <c r="R877" s="1"/>
    </row>
    <row r="878" ht="14.25" customHeight="1">
      <c r="A878" s="1"/>
      <c r="B878" s="163"/>
      <c r="C878" s="163"/>
      <c r="D878" s="163"/>
      <c r="E878" s="163"/>
      <c r="F878" s="163"/>
      <c r="G878" s="163"/>
      <c r="H878" s="163"/>
      <c r="I878" s="163"/>
      <c r="J878" s="163"/>
      <c r="K878" s="163"/>
      <c r="L878" s="163"/>
      <c r="M878" s="163"/>
      <c r="N878" s="163"/>
      <c r="O878" s="163"/>
      <c r="P878" s="163"/>
      <c r="Q878" s="1"/>
      <c r="R878" s="1"/>
    </row>
    <row r="879" ht="14.25" customHeight="1">
      <c r="A879" s="1"/>
      <c r="B879" s="163"/>
      <c r="C879" s="163"/>
      <c r="D879" s="163"/>
      <c r="E879" s="163"/>
      <c r="F879" s="163"/>
      <c r="G879" s="163"/>
      <c r="H879" s="163"/>
      <c r="I879" s="163"/>
      <c r="J879" s="163"/>
      <c r="K879" s="163"/>
      <c r="L879" s="163"/>
      <c r="M879" s="163"/>
      <c r="N879" s="163"/>
      <c r="O879" s="163"/>
      <c r="P879" s="163"/>
      <c r="Q879" s="1"/>
      <c r="R879" s="1"/>
    </row>
    <row r="880" ht="14.25" customHeight="1">
      <c r="A880" s="1"/>
      <c r="B880" s="163"/>
      <c r="C880" s="163"/>
      <c r="D880" s="163"/>
      <c r="E880" s="163"/>
      <c r="F880" s="163"/>
      <c r="G880" s="163"/>
      <c r="H880" s="163"/>
      <c r="I880" s="163"/>
      <c r="J880" s="163"/>
      <c r="K880" s="163"/>
      <c r="L880" s="163"/>
      <c r="M880" s="163"/>
      <c r="N880" s="163"/>
      <c r="O880" s="163"/>
      <c r="P880" s="163"/>
      <c r="Q880" s="1"/>
      <c r="R880" s="1"/>
    </row>
    <row r="881" ht="14.25" customHeight="1">
      <c r="A881" s="1"/>
      <c r="B881" s="163"/>
      <c r="C881" s="163"/>
      <c r="D881" s="163"/>
      <c r="E881" s="163"/>
      <c r="F881" s="163"/>
      <c r="G881" s="163"/>
      <c r="H881" s="163"/>
      <c r="I881" s="163"/>
      <c r="J881" s="163"/>
      <c r="K881" s="163"/>
      <c r="L881" s="163"/>
      <c r="M881" s="163"/>
      <c r="N881" s="163"/>
      <c r="O881" s="163"/>
      <c r="P881" s="163"/>
      <c r="Q881" s="1"/>
      <c r="R881" s="1"/>
    </row>
    <row r="882" ht="14.25" customHeight="1">
      <c r="A882" s="1"/>
      <c r="B882" s="163"/>
      <c r="C882" s="163"/>
      <c r="D882" s="163"/>
      <c r="E882" s="163"/>
      <c r="F882" s="163"/>
      <c r="G882" s="163"/>
      <c r="H882" s="163"/>
      <c r="I882" s="163"/>
      <c r="J882" s="163"/>
      <c r="K882" s="163"/>
      <c r="L882" s="163"/>
      <c r="M882" s="163"/>
      <c r="N882" s="163"/>
      <c r="O882" s="163"/>
      <c r="P882" s="163"/>
      <c r="Q882" s="1"/>
      <c r="R882" s="1"/>
    </row>
    <row r="883" ht="14.25" customHeight="1">
      <c r="A883" s="1"/>
      <c r="B883" s="163"/>
      <c r="C883" s="163"/>
      <c r="D883" s="163"/>
      <c r="E883" s="163"/>
      <c r="F883" s="163"/>
      <c r="G883" s="163"/>
      <c r="H883" s="163"/>
      <c r="I883" s="163"/>
      <c r="J883" s="163"/>
      <c r="K883" s="163"/>
      <c r="L883" s="163"/>
      <c r="M883" s="163"/>
      <c r="N883" s="163"/>
      <c r="O883" s="163"/>
      <c r="P883" s="163"/>
      <c r="Q883" s="1"/>
      <c r="R883" s="1"/>
    </row>
    <row r="884" ht="14.25" customHeight="1">
      <c r="A884" s="1"/>
      <c r="B884" s="163"/>
      <c r="C884" s="163"/>
      <c r="D884" s="163"/>
      <c r="E884" s="163"/>
      <c r="F884" s="163"/>
      <c r="G884" s="163"/>
      <c r="H884" s="163"/>
      <c r="I884" s="163"/>
      <c r="J884" s="163"/>
      <c r="K884" s="163"/>
      <c r="L884" s="163"/>
      <c r="M884" s="163"/>
      <c r="N884" s="163"/>
      <c r="O884" s="163"/>
      <c r="P884" s="163"/>
      <c r="Q884" s="1"/>
      <c r="R884" s="1"/>
    </row>
    <row r="885" ht="14.25" customHeight="1">
      <c r="A885" s="1"/>
      <c r="B885" s="163"/>
      <c r="C885" s="163"/>
      <c r="D885" s="163"/>
      <c r="E885" s="163"/>
      <c r="F885" s="163"/>
      <c r="G885" s="163"/>
      <c r="H885" s="163"/>
      <c r="I885" s="163"/>
      <c r="J885" s="163"/>
      <c r="K885" s="163"/>
      <c r="L885" s="163"/>
      <c r="M885" s="163"/>
      <c r="N885" s="163"/>
      <c r="O885" s="163"/>
      <c r="P885" s="163"/>
      <c r="Q885" s="1"/>
      <c r="R885" s="1"/>
    </row>
    <row r="886" ht="14.25" customHeight="1">
      <c r="A886" s="1"/>
      <c r="B886" s="163"/>
      <c r="C886" s="163"/>
      <c r="D886" s="163"/>
      <c r="E886" s="163"/>
      <c r="F886" s="163"/>
      <c r="G886" s="163"/>
      <c r="H886" s="163"/>
      <c r="I886" s="163"/>
      <c r="J886" s="163"/>
      <c r="K886" s="163"/>
      <c r="L886" s="163"/>
      <c r="M886" s="163"/>
      <c r="N886" s="163"/>
      <c r="O886" s="163"/>
      <c r="P886" s="163"/>
      <c r="Q886" s="1"/>
      <c r="R886" s="1"/>
    </row>
    <row r="887" ht="14.25" customHeight="1">
      <c r="A887" s="1"/>
      <c r="B887" s="163"/>
      <c r="C887" s="163"/>
      <c r="D887" s="163"/>
      <c r="E887" s="163"/>
      <c r="F887" s="163"/>
      <c r="G887" s="163"/>
      <c r="H887" s="163"/>
      <c r="I887" s="163"/>
      <c r="J887" s="163"/>
      <c r="K887" s="163"/>
      <c r="L887" s="163"/>
      <c r="M887" s="163"/>
      <c r="N887" s="163"/>
      <c r="O887" s="163"/>
      <c r="P887" s="163"/>
      <c r="Q887" s="1"/>
      <c r="R887" s="1"/>
    </row>
    <row r="888" ht="14.25" customHeight="1">
      <c r="A888" s="1"/>
      <c r="B888" s="163"/>
      <c r="C888" s="163"/>
      <c r="D888" s="163"/>
      <c r="E888" s="163"/>
      <c r="F888" s="163"/>
      <c r="G888" s="163"/>
      <c r="H888" s="163"/>
      <c r="I888" s="163"/>
      <c r="J888" s="163"/>
      <c r="K888" s="163"/>
      <c r="L888" s="163"/>
      <c r="M888" s="163"/>
      <c r="N888" s="163"/>
      <c r="O888" s="163"/>
      <c r="P888" s="163"/>
      <c r="Q888" s="1"/>
      <c r="R888" s="1"/>
    </row>
    <row r="889" ht="14.25" customHeight="1">
      <c r="A889" s="1"/>
      <c r="B889" s="163"/>
      <c r="C889" s="163"/>
      <c r="D889" s="163"/>
      <c r="E889" s="163"/>
      <c r="F889" s="163"/>
      <c r="G889" s="163"/>
      <c r="H889" s="163"/>
      <c r="I889" s="163"/>
      <c r="J889" s="163"/>
      <c r="K889" s="163"/>
      <c r="L889" s="163"/>
      <c r="M889" s="163"/>
      <c r="N889" s="163"/>
      <c r="O889" s="163"/>
      <c r="P889" s="163"/>
      <c r="Q889" s="1"/>
      <c r="R889" s="1"/>
    </row>
    <row r="890" ht="14.25" customHeight="1">
      <c r="A890" s="1"/>
      <c r="B890" s="163"/>
      <c r="C890" s="163"/>
      <c r="D890" s="163"/>
      <c r="E890" s="163"/>
      <c r="F890" s="163"/>
      <c r="G890" s="163"/>
      <c r="H890" s="163"/>
      <c r="I890" s="163"/>
      <c r="J890" s="163"/>
      <c r="K890" s="163"/>
      <c r="L890" s="163"/>
      <c r="M890" s="163"/>
      <c r="N890" s="163"/>
      <c r="O890" s="163"/>
      <c r="P890" s="163"/>
      <c r="Q890" s="1"/>
      <c r="R890" s="1"/>
    </row>
    <row r="891" ht="14.25" customHeight="1">
      <c r="A891" s="1"/>
      <c r="B891" s="163"/>
      <c r="C891" s="163"/>
      <c r="D891" s="163"/>
      <c r="E891" s="163"/>
      <c r="F891" s="163"/>
      <c r="G891" s="163"/>
      <c r="H891" s="163"/>
      <c r="I891" s="163"/>
      <c r="J891" s="163"/>
      <c r="K891" s="163"/>
      <c r="L891" s="163"/>
      <c r="M891" s="163"/>
      <c r="N891" s="163"/>
      <c r="O891" s="163"/>
      <c r="P891" s="163"/>
      <c r="Q891" s="1"/>
      <c r="R891" s="1"/>
    </row>
    <row r="892" ht="14.25" customHeight="1">
      <c r="A892" s="1"/>
      <c r="B892" s="163"/>
      <c r="C892" s="163"/>
      <c r="D892" s="163"/>
      <c r="E892" s="163"/>
      <c r="F892" s="163"/>
      <c r="G892" s="163"/>
      <c r="H892" s="163"/>
      <c r="I892" s="163"/>
      <c r="J892" s="163"/>
      <c r="K892" s="163"/>
      <c r="L892" s="163"/>
      <c r="M892" s="163"/>
      <c r="N892" s="163"/>
      <c r="O892" s="163"/>
      <c r="P892" s="163"/>
      <c r="Q892" s="1"/>
      <c r="R892" s="1"/>
    </row>
    <row r="893" ht="14.25" customHeight="1">
      <c r="A893" s="1"/>
      <c r="B893" s="163"/>
      <c r="C893" s="163"/>
      <c r="D893" s="163"/>
      <c r="E893" s="163"/>
      <c r="F893" s="163"/>
      <c r="G893" s="163"/>
      <c r="H893" s="163"/>
      <c r="I893" s="163"/>
      <c r="J893" s="163"/>
      <c r="K893" s="163"/>
      <c r="L893" s="163"/>
      <c r="M893" s="163"/>
      <c r="N893" s="163"/>
      <c r="O893" s="163"/>
      <c r="P893" s="163"/>
      <c r="Q893" s="1"/>
      <c r="R893" s="1"/>
    </row>
    <row r="894" ht="14.25" customHeight="1">
      <c r="A894" s="1"/>
      <c r="B894" s="163"/>
      <c r="C894" s="163"/>
      <c r="D894" s="163"/>
      <c r="E894" s="163"/>
      <c r="F894" s="163"/>
      <c r="G894" s="163"/>
      <c r="H894" s="163"/>
      <c r="I894" s="163"/>
      <c r="J894" s="163"/>
      <c r="K894" s="163"/>
      <c r="L894" s="163"/>
      <c r="M894" s="163"/>
      <c r="N894" s="163"/>
      <c r="O894" s="163"/>
      <c r="P894" s="163"/>
      <c r="Q894" s="1"/>
      <c r="R894" s="1"/>
    </row>
    <row r="895" ht="14.25" customHeight="1">
      <c r="A895" s="1"/>
      <c r="B895" s="163"/>
      <c r="C895" s="163"/>
      <c r="D895" s="163"/>
      <c r="E895" s="163"/>
      <c r="F895" s="163"/>
      <c r="G895" s="163"/>
      <c r="H895" s="163"/>
      <c r="I895" s="163"/>
      <c r="J895" s="163"/>
      <c r="K895" s="163"/>
      <c r="L895" s="163"/>
      <c r="M895" s="163"/>
      <c r="N895" s="163"/>
      <c r="O895" s="163"/>
      <c r="P895" s="163"/>
      <c r="Q895" s="1"/>
      <c r="R895" s="1"/>
    </row>
    <row r="896" ht="14.25" customHeight="1">
      <c r="A896" s="1"/>
      <c r="B896" s="163"/>
      <c r="C896" s="163"/>
      <c r="D896" s="163"/>
      <c r="E896" s="163"/>
      <c r="F896" s="163"/>
      <c r="G896" s="163"/>
      <c r="H896" s="163"/>
      <c r="I896" s="163"/>
      <c r="J896" s="163"/>
      <c r="K896" s="163"/>
      <c r="L896" s="163"/>
      <c r="M896" s="163"/>
      <c r="N896" s="163"/>
      <c r="O896" s="163"/>
      <c r="P896" s="163"/>
      <c r="Q896" s="1"/>
      <c r="R896" s="1"/>
    </row>
    <row r="897" ht="14.25" customHeight="1">
      <c r="A897" s="1"/>
      <c r="B897" s="163"/>
      <c r="C897" s="163"/>
      <c r="D897" s="163"/>
      <c r="E897" s="163"/>
      <c r="F897" s="163"/>
      <c r="G897" s="163"/>
      <c r="H897" s="163"/>
      <c r="I897" s="163"/>
      <c r="J897" s="163"/>
      <c r="K897" s="163"/>
      <c r="L897" s="163"/>
      <c r="M897" s="163"/>
      <c r="N897" s="163"/>
      <c r="O897" s="163"/>
      <c r="P897" s="163"/>
      <c r="Q897" s="1"/>
      <c r="R897" s="1"/>
    </row>
    <row r="898" ht="14.25" customHeight="1">
      <c r="A898" s="1"/>
      <c r="B898" s="163"/>
      <c r="C898" s="163"/>
      <c r="D898" s="163"/>
      <c r="E898" s="163"/>
      <c r="F898" s="163"/>
      <c r="G898" s="163"/>
      <c r="H898" s="163"/>
      <c r="I898" s="163"/>
      <c r="J898" s="163"/>
      <c r="K898" s="163"/>
      <c r="L898" s="163"/>
      <c r="M898" s="163"/>
      <c r="N898" s="163"/>
      <c r="O898" s="163"/>
      <c r="P898" s="163"/>
      <c r="Q898" s="1"/>
      <c r="R898" s="1"/>
    </row>
    <row r="899" ht="14.25" customHeight="1">
      <c r="A899" s="1"/>
      <c r="B899" s="163"/>
      <c r="C899" s="163"/>
      <c r="D899" s="163"/>
      <c r="E899" s="163"/>
      <c r="F899" s="163"/>
      <c r="G899" s="163"/>
      <c r="H899" s="163"/>
      <c r="I899" s="163"/>
      <c r="J899" s="163"/>
      <c r="K899" s="163"/>
      <c r="L899" s="163"/>
      <c r="M899" s="163"/>
      <c r="N899" s="163"/>
      <c r="O899" s="163"/>
      <c r="P899" s="163"/>
      <c r="Q899" s="1"/>
      <c r="R899" s="1"/>
    </row>
    <row r="900" ht="14.25" customHeight="1">
      <c r="A900" s="1"/>
      <c r="B900" s="163"/>
      <c r="C900" s="163"/>
      <c r="D900" s="163"/>
      <c r="E900" s="163"/>
      <c r="F900" s="163"/>
      <c r="G900" s="163"/>
      <c r="H900" s="163"/>
      <c r="I900" s="163"/>
      <c r="J900" s="163"/>
      <c r="K900" s="163"/>
      <c r="L900" s="163"/>
      <c r="M900" s="163"/>
      <c r="N900" s="163"/>
      <c r="O900" s="163"/>
      <c r="P900" s="163"/>
      <c r="Q900" s="1"/>
      <c r="R900" s="1"/>
    </row>
    <row r="901" ht="14.25" customHeight="1">
      <c r="A901" s="1"/>
      <c r="B901" s="163"/>
      <c r="C901" s="163"/>
      <c r="D901" s="163"/>
      <c r="E901" s="163"/>
      <c r="F901" s="163"/>
      <c r="G901" s="163"/>
      <c r="H901" s="163"/>
      <c r="I901" s="163"/>
      <c r="J901" s="163"/>
      <c r="K901" s="163"/>
      <c r="L901" s="163"/>
      <c r="M901" s="163"/>
      <c r="N901" s="163"/>
      <c r="O901" s="163"/>
      <c r="P901" s="163"/>
      <c r="Q901" s="1"/>
      <c r="R901" s="1"/>
    </row>
    <row r="902" ht="14.25" customHeight="1">
      <c r="A902" s="1"/>
      <c r="B902" s="163"/>
      <c r="C902" s="163"/>
      <c r="D902" s="163"/>
      <c r="E902" s="163"/>
      <c r="F902" s="163"/>
      <c r="G902" s="163"/>
      <c r="H902" s="163"/>
      <c r="I902" s="163"/>
      <c r="J902" s="163"/>
      <c r="K902" s="163"/>
      <c r="L902" s="163"/>
      <c r="M902" s="163"/>
      <c r="N902" s="163"/>
      <c r="O902" s="163"/>
      <c r="P902" s="163"/>
      <c r="Q902" s="1"/>
      <c r="R902" s="1"/>
    </row>
    <row r="903" ht="14.25" customHeight="1">
      <c r="A903" s="1"/>
      <c r="B903" s="163"/>
      <c r="C903" s="163"/>
      <c r="D903" s="163"/>
      <c r="E903" s="163"/>
      <c r="F903" s="163"/>
      <c r="G903" s="163"/>
      <c r="H903" s="163"/>
      <c r="I903" s="163"/>
      <c r="J903" s="163"/>
      <c r="K903" s="163"/>
      <c r="L903" s="163"/>
      <c r="M903" s="163"/>
      <c r="N903" s="163"/>
      <c r="O903" s="163"/>
      <c r="P903" s="163"/>
      <c r="Q903" s="1"/>
      <c r="R903" s="1"/>
    </row>
    <row r="904" ht="14.25" customHeight="1">
      <c r="A904" s="1"/>
      <c r="B904" s="163"/>
      <c r="C904" s="163"/>
      <c r="D904" s="163"/>
      <c r="E904" s="163"/>
      <c r="F904" s="163"/>
      <c r="G904" s="163"/>
      <c r="H904" s="163"/>
      <c r="I904" s="163"/>
      <c r="J904" s="163"/>
      <c r="K904" s="163"/>
      <c r="L904" s="163"/>
      <c r="M904" s="163"/>
      <c r="N904" s="163"/>
      <c r="O904" s="163"/>
      <c r="P904" s="163"/>
      <c r="Q904" s="1"/>
      <c r="R904" s="1"/>
    </row>
    <row r="905" ht="14.25" customHeight="1">
      <c r="A905" s="1"/>
      <c r="B905" s="163"/>
      <c r="C905" s="163"/>
      <c r="D905" s="163"/>
      <c r="E905" s="163"/>
      <c r="F905" s="163"/>
      <c r="G905" s="163"/>
      <c r="H905" s="163"/>
      <c r="I905" s="163"/>
      <c r="J905" s="163"/>
      <c r="K905" s="163"/>
      <c r="L905" s="163"/>
      <c r="M905" s="163"/>
      <c r="N905" s="163"/>
      <c r="O905" s="163"/>
      <c r="P905" s="163"/>
      <c r="Q905" s="1"/>
      <c r="R905" s="1"/>
    </row>
    <row r="906" ht="14.25" customHeight="1">
      <c r="A906" s="1"/>
      <c r="B906" s="163"/>
      <c r="C906" s="163"/>
      <c r="D906" s="163"/>
      <c r="E906" s="163"/>
      <c r="F906" s="163"/>
      <c r="G906" s="163"/>
      <c r="H906" s="163"/>
      <c r="I906" s="163"/>
      <c r="J906" s="163"/>
      <c r="K906" s="163"/>
      <c r="L906" s="163"/>
      <c r="M906" s="163"/>
      <c r="N906" s="163"/>
      <c r="O906" s="163"/>
      <c r="P906" s="163"/>
      <c r="Q906" s="1"/>
      <c r="R906" s="1"/>
    </row>
    <row r="907" ht="14.25" customHeight="1">
      <c r="A907" s="1"/>
      <c r="B907" s="163"/>
      <c r="C907" s="163"/>
      <c r="D907" s="163"/>
      <c r="E907" s="163"/>
      <c r="F907" s="163"/>
      <c r="G907" s="163"/>
      <c r="H907" s="163"/>
      <c r="I907" s="163"/>
      <c r="J907" s="163"/>
      <c r="K907" s="163"/>
      <c r="L907" s="163"/>
      <c r="M907" s="163"/>
      <c r="N907" s="163"/>
      <c r="O907" s="163"/>
      <c r="P907" s="163"/>
      <c r="Q907" s="1"/>
      <c r="R907" s="1"/>
    </row>
    <row r="908" ht="14.25" customHeight="1">
      <c r="A908" s="1"/>
      <c r="B908" s="163"/>
      <c r="C908" s="163"/>
      <c r="D908" s="163"/>
      <c r="E908" s="163"/>
      <c r="F908" s="163"/>
      <c r="G908" s="163"/>
      <c r="H908" s="163"/>
      <c r="I908" s="163"/>
      <c r="J908" s="163"/>
      <c r="K908" s="163"/>
      <c r="L908" s="163"/>
      <c r="M908" s="163"/>
      <c r="N908" s="163"/>
      <c r="O908" s="163"/>
      <c r="P908" s="163"/>
      <c r="Q908" s="1"/>
      <c r="R908" s="1"/>
    </row>
    <row r="909" ht="14.25" customHeight="1">
      <c r="A909" s="1"/>
      <c r="B909" s="163"/>
      <c r="C909" s="163"/>
      <c r="D909" s="163"/>
      <c r="E909" s="163"/>
      <c r="F909" s="163"/>
      <c r="G909" s="163"/>
      <c r="H909" s="163"/>
      <c r="I909" s="163"/>
      <c r="J909" s="163"/>
      <c r="K909" s="163"/>
      <c r="L909" s="163"/>
      <c r="M909" s="163"/>
      <c r="N909" s="163"/>
      <c r="O909" s="163"/>
      <c r="P909" s="163"/>
      <c r="Q909" s="1"/>
      <c r="R909" s="1"/>
    </row>
    <row r="910" ht="14.25" customHeight="1">
      <c r="A910" s="1"/>
      <c r="B910" s="163"/>
      <c r="C910" s="163"/>
      <c r="D910" s="163"/>
      <c r="E910" s="163"/>
      <c r="F910" s="163"/>
      <c r="G910" s="163"/>
      <c r="H910" s="163"/>
      <c r="I910" s="163"/>
      <c r="J910" s="163"/>
      <c r="K910" s="163"/>
      <c r="L910" s="163"/>
      <c r="M910" s="163"/>
      <c r="N910" s="163"/>
      <c r="O910" s="163"/>
      <c r="P910" s="163"/>
      <c r="Q910" s="1"/>
      <c r="R910" s="1"/>
    </row>
    <row r="911" ht="14.25" customHeight="1">
      <c r="A911" s="1"/>
      <c r="B911" s="163"/>
      <c r="C911" s="163"/>
      <c r="D911" s="163"/>
      <c r="E911" s="163"/>
      <c r="F911" s="163"/>
      <c r="G911" s="163"/>
      <c r="H911" s="163"/>
      <c r="I911" s="163"/>
      <c r="J911" s="163"/>
      <c r="K911" s="163"/>
      <c r="L911" s="163"/>
      <c r="M911" s="163"/>
      <c r="N911" s="163"/>
      <c r="O911" s="163"/>
      <c r="P911" s="163"/>
      <c r="Q911" s="1"/>
      <c r="R911" s="1"/>
    </row>
    <row r="912" ht="14.25" customHeight="1">
      <c r="A912" s="1"/>
      <c r="B912" s="163"/>
      <c r="C912" s="163"/>
      <c r="D912" s="163"/>
      <c r="E912" s="163"/>
      <c r="F912" s="163"/>
      <c r="G912" s="163"/>
      <c r="H912" s="163"/>
      <c r="I912" s="163"/>
      <c r="J912" s="163"/>
      <c r="K912" s="163"/>
      <c r="L912" s="163"/>
      <c r="M912" s="163"/>
      <c r="N912" s="163"/>
      <c r="O912" s="163"/>
      <c r="P912" s="163"/>
      <c r="Q912" s="1"/>
      <c r="R912" s="1"/>
    </row>
    <row r="913" ht="14.25" customHeight="1">
      <c r="A913" s="1"/>
      <c r="B913" s="163"/>
      <c r="C913" s="163"/>
      <c r="D913" s="163"/>
      <c r="E913" s="163"/>
      <c r="F913" s="163"/>
      <c r="G913" s="163"/>
      <c r="H913" s="163"/>
      <c r="I913" s="163"/>
      <c r="J913" s="163"/>
      <c r="K913" s="163"/>
      <c r="L913" s="163"/>
      <c r="M913" s="163"/>
      <c r="N913" s="163"/>
      <c r="O913" s="163"/>
      <c r="P913" s="163"/>
      <c r="Q913" s="1"/>
      <c r="R913" s="1"/>
    </row>
    <row r="914" ht="14.25" customHeight="1">
      <c r="A914" s="1"/>
      <c r="B914" s="163"/>
      <c r="C914" s="163"/>
      <c r="D914" s="163"/>
      <c r="E914" s="163"/>
      <c r="F914" s="163"/>
      <c r="G914" s="163"/>
      <c r="H914" s="163"/>
      <c r="I914" s="163"/>
      <c r="J914" s="163"/>
      <c r="K914" s="163"/>
      <c r="L914" s="163"/>
      <c r="M914" s="163"/>
      <c r="N914" s="163"/>
      <c r="O914" s="163"/>
      <c r="P914" s="163"/>
      <c r="Q914" s="1"/>
      <c r="R914" s="1"/>
    </row>
    <row r="915" ht="14.25" customHeight="1">
      <c r="A915" s="1"/>
      <c r="B915" s="163"/>
      <c r="C915" s="163"/>
      <c r="D915" s="163"/>
      <c r="E915" s="163"/>
      <c r="F915" s="163"/>
      <c r="G915" s="163"/>
      <c r="H915" s="163"/>
      <c r="I915" s="163"/>
      <c r="J915" s="163"/>
      <c r="K915" s="163"/>
      <c r="L915" s="163"/>
      <c r="M915" s="163"/>
      <c r="N915" s="163"/>
      <c r="O915" s="163"/>
      <c r="P915" s="163"/>
      <c r="Q915" s="1"/>
      <c r="R915" s="1"/>
    </row>
    <row r="916" ht="14.25" customHeight="1">
      <c r="A916" s="1"/>
      <c r="B916" s="163"/>
      <c r="C916" s="163"/>
      <c r="D916" s="163"/>
      <c r="E916" s="163"/>
      <c r="F916" s="163"/>
      <c r="G916" s="163"/>
      <c r="H916" s="163"/>
      <c r="I916" s="163"/>
      <c r="J916" s="163"/>
      <c r="K916" s="163"/>
      <c r="L916" s="163"/>
      <c r="M916" s="163"/>
      <c r="N916" s="163"/>
      <c r="O916" s="163"/>
      <c r="P916" s="163"/>
      <c r="Q916" s="1"/>
      <c r="R916" s="1"/>
    </row>
    <row r="917" ht="14.25" customHeight="1">
      <c r="A917" s="1"/>
      <c r="B917" s="163"/>
      <c r="C917" s="163"/>
      <c r="D917" s="163"/>
      <c r="E917" s="163"/>
      <c r="F917" s="163"/>
      <c r="G917" s="163"/>
      <c r="H917" s="163"/>
      <c r="I917" s="163"/>
      <c r="J917" s="163"/>
      <c r="K917" s="163"/>
      <c r="L917" s="163"/>
      <c r="M917" s="163"/>
      <c r="N917" s="163"/>
      <c r="O917" s="163"/>
      <c r="P917" s="163"/>
      <c r="Q917" s="1"/>
      <c r="R917" s="1"/>
    </row>
    <row r="918" ht="14.25" customHeight="1">
      <c r="A918" s="1"/>
      <c r="B918" s="163"/>
      <c r="C918" s="163"/>
      <c r="D918" s="163"/>
      <c r="E918" s="163"/>
      <c r="F918" s="163"/>
      <c r="G918" s="163"/>
      <c r="H918" s="163"/>
      <c r="I918" s="163"/>
      <c r="J918" s="163"/>
      <c r="K918" s="163"/>
      <c r="L918" s="163"/>
      <c r="M918" s="163"/>
      <c r="N918" s="163"/>
      <c r="O918" s="163"/>
      <c r="P918" s="163"/>
      <c r="Q918" s="1"/>
      <c r="R918" s="1"/>
    </row>
    <row r="919" ht="14.25" customHeight="1">
      <c r="A919" s="1"/>
      <c r="B919" s="163"/>
      <c r="C919" s="163"/>
      <c r="D919" s="163"/>
      <c r="E919" s="163"/>
      <c r="F919" s="163"/>
      <c r="G919" s="163"/>
      <c r="H919" s="163"/>
      <c r="I919" s="163"/>
      <c r="J919" s="163"/>
      <c r="K919" s="163"/>
      <c r="L919" s="163"/>
      <c r="M919" s="163"/>
      <c r="N919" s="163"/>
      <c r="O919" s="163"/>
      <c r="P919" s="163"/>
      <c r="Q919" s="1"/>
      <c r="R919" s="1"/>
    </row>
    <row r="920" ht="14.25" customHeight="1">
      <c r="A920" s="1"/>
      <c r="B920" s="163"/>
      <c r="C920" s="163"/>
      <c r="D920" s="163"/>
      <c r="E920" s="163"/>
      <c r="F920" s="163"/>
      <c r="G920" s="163"/>
      <c r="H920" s="163"/>
      <c r="I920" s="163"/>
      <c r="J920" s="163"/>
      <c r="K920" s="163"/>
      <c r="L920" s="163"/>
      <c r="M920" s="163"/>
      <c r="N920" s="163"/>
      <c r="O920" s="163"/>
      <c r="P920" s="163"/>
      <c r="Q920" s="1"/>
      <c r="R920" s="1"/>
    </row>
    <row r="921" ht="14.25" customHeight="1">
      <c r="A921" s="1"/>
      <c r="B921" s="163"/>
      <c r="C921" s="163"/>
      <c r="D921" s="163"/>
      <c r="E921" s="163"/>
      <c r="F921" s="163"/>
      <c r="G921" s="163"/>
      <c r="H921" s="163"/>
      <c r="I921" s="163"/>
      <c r="J921" s="163"/>
      <c r="K921" s="163"/>
      <c r="L921" s="163"/>
      <c r="M921" s="163"/>
      <c r="N921" s="163"/>
      <c r="O921" s="163"/>
      <c r="P921" s="163"/>
      <c r="Q921" s="1"/>
      <c r="R921" s="1"/>
    </row>
    <row r="922" ht="14.25" customHeight="1">
      <c r="A922" s="1"/>
      <c r="B922" s="163"/>
      <c r="C922" s="163"/>
      <c r="D922" s="163"/>
      <c r="E922" s="163"/>
      <c r="F922" s="163"/>
      <c r="G922" s="163"/>
      <c r="H922" s="163"/>
      <c r="I922" s="163"/>
      <c r="J922" s="163"/>
      <c r="K922" s="163"/>
      <c r="L922" s="163"/>
      <c r="M922" s="163"/>
      <c r="N922" s="163"/>
      <c r="O922" s="163"/>
      <c r="P922" s="163"/>
      <c r="Q922" s="1"/>
      <c r="R922" s="1"/>
    </row>
    <row r="923" ht="14.25" customHeight="1">
      <c r="A923" s="1"/>
      <c r="B923" s="163"/>
      <c r="C923" s="163"/>
      <c r="D923" s="163"/>
      <c r="E923" s="163"/>
      <c r="F923" s="163"/>
      <c r="G923" s="163"/>
      <c r="H923" s="163"/>
      <c r="I923" s="163"/>
      <c r="J923" s="163"/>
      <c r="K923" s="163"/>
      <c r="L923" s="163"/>
      <c r="M923" s="163"/>
      <c r="N923" s="163"/>
      <c r="O923" s="163"/>
      <c r="P923" s="163"/>
      <c r="Q923" s="1"/>
      <c r="R923" s="1"/>
    </row>
    <row r="924" ht="14.25" customHeight="1">
      <c r="A924" s="1"/>
      <c r="B924" s="163"/>
      <c r="C924" s="163"/>
      <c r="D924" s="163"/>
      <c r="E924" s="163"/>
      <c r="F924" s="163"/>
      <c r="G924" s="163"/>
      <c r="H924" s="163"/>
      <c r="I924" s="163"/>
      <c r="J924" s="163"/>
      <c r="K924" s="163"/>
      <c r="L924" s="163"/>
      <c r="M924" s="163"/>
      <c r="N924" s="163"/>
      <c r="O924" s="163"/>
      <c r="P924" s="163"/>
      <c r="Q924" s="1"/>
      <c r="R924" s="1"/>
    </row>
    <row r="925" ht="14.25" customHeight="1">
      <c r="A925" s="1"/>
      <c r="B925" s="163"/>
      <c r="C925" s="163"/>
      <c r="D925" s="163"/>
      <c r="E925" s="163"/>
      <c r="F925" s="163"/>
      <c r="G925" s="163"/>
      <c r="H925" s="163"/>
      <c r="I925" s="163"/>
      <c r="J925" s="163"/>
      <c r="K925" s="163"/>
      <c r="L925" s="163"/>
      <c r="M925" s="163"/>
      <c r="N925" s="163"/>
      <c r="O925" s="163"/>
      <c r="P925" s="163"/>
      <c r="Q925" s="1"/>
      <c r="R925" s="1"/>
    </row>
    <row r="926" ht="14.25" customHeight="1">
      <c r="A926" s="1"/>
      <c r="B926" s="163"/>
      <c r="C926" s="163"/>
      <c r="D926" s="163"/>
      <c r="E926" s="163"/>
      <c r="F926" s="163"/>
      <c r="G926" s="163"/>
      <c r="H926" s="163"/>
      <c r="I926" s="163"/>
      <c r="J926" s="163"/>
      <c r="K926" s="163"/>
      <c r="L926" s="163"/>
      <c r="M926" s="163"/>
      <c r="N926" s="163"/>
      <c r="O926" s="163"/>
      <c r="P926" s="163"/>
      <c r="Q926" s="1"/>
      <c r="R926" s="1"/>
    </row>
    <row r="927" ht="14.25" customHeight="1">
      <c r="A927" s="1"/>
      <c r="B927" s="163"/>
      <c r="C927" s="163"/>
      <c r="D927" s="163"/>
      <c r="E927" s="163"/>
      <c r="F927" s="163"/>
      <c r="G927" s="163"/>
      <c r="H927" s="163"/>
      <c r="I927" s="163"/>
      <c r="J927" s="163"/>
      <c r="K927" s="163"/>
      <c r="L927" s="163"/>
      <c r="M927" s="163"/>
      <c r="N927" s="163"/>
      <c r="O927" s="163"/>
      <c r="P927" s="163"/>
      <c r="Q927" s="1"/>
      <c r="R927" s="1"/>
    </row>
    <row r="928" ht="14.25" customHeight="1">
      <c r="A928" s="1"/>
      <c r="B928" s="163"/>
      <c r="C928" s="163"/>
      <c r="D928" s="163"/>
      <c r="E928" s="163"/>
      <c r="F928" s="163"/>
      <c r="G928" s="163"/>
      <c r="H928" s="163"/>
      <c r="I928" s="163"/>
      <c r="J928" s="163"/>
      <c r="K928" s="163"/>
      <c r="L928" s="163"/>
      <c r="M928" s="163"/>
      <c r="N928" s="163"/>
      <c r="O928" s="163"/>
      <c r="P928" s="163"/>
      <c r="Q928" s="1"/>
      <c r="R928" s="1"/>
    </row>
    <row r="929" ht="14.25" customHeight="1">
      <c r="A929" s="1"/>
      <c r="B929" s="163"/>
      <c r="C929" s="163"/>
      <c r="D929" s="163"/>
      <c r="E929" s="163"/>
      <c r="F929" s="163"/>
      <c r="G929" s="163"/>
      <c r="H929" s="163"/>
      <c r="I929" s="163"/>
      <c r="J929" s="163"/>
      <c r="K929" s="163"/>
      <c r="L929" s="163"/>
      <c r="M929" s="163"/>
      <c r="N929" s="163"/>
      <c r="O929" s="163"/>
      <c r="P929" s="163"/>
      <c r="Q929" s="1"/>
      <c r="R929" s="1"/>
    </row>
    <row r="930" ht="14.25" customHeight="1">
      <c r="A930" s="1"/>
      <c r="B930" s="163"/>
      <c r="C930" s="163"/>
      <c r="D930" s="163"/>
      <c r="E930" s="163"/>
      <c r="F930" s="163"/>
      <c r="G930" s="163"/>
      <c r="H930" s="163"/>
      <c r="I930" s="163"/>
      <c r="J930" s="163"/>
      <c r="K930" s="163"/>
      <c r="L930" s="163"/>
      <c r="M930" s="163"/>
      <c r="N930" s="163"/>
      <c r="O930" s="163"/>
      <c r="P930" s="163"/>
      <c r="Q930" s="1"/>
      <c r="R930" s="1"/>
    </row>
    <row r="931" ht="14.25" customHeight="1">
      <c r="A931" s="1"/>
      <c r="B931" s="163"/>
      <c r="C931" s="163"/>
      <c r="D931" s="163"/>
      <c r="E931" s="163"/>
      <c r="F931" s="163"/>
      <c r="G931" s="163"/>
      <c r="H931" s="163"/>
      <c r="I931" s="163"/>
      <c r="J931" s="163"/>
      <c r="K931" s="163"/>
      <c r="L931" s="163"/>
      <c r="M931" s="163"/>
      <c r="N931" s="163"/>
      <c r="O931" s="163"/>
      <c r="P931" s="163"/>
      <c r="Q931" s="1"/>
      <c r="R931" s="1"/>
    </row>
    <row r="932" ht="14.25" customHeight="1">
      <c r="A932" s="1"/>
      <c r="B932" s="163"/>
      <c r="C932" s="163"/>
      <c r="D932" s="163"/>
      <c r="E932" s="163"/>
      <c r="F932" s="163"/>
      <c r="G932" s="163"/>
      <c r="H932" s="163"/>
      <c r="I932" s="163"/>
      <c r="J932" s="163"/>
      <c r="K932" s="163"/>
      <c r="L932" s="163"/>
      <c r="M932" s="163"/>
      <c r="N932" s="163"/>
      <c r="O932" s="163"/>
      <c r="P932" s="163"/>
      <c r="Q932" s="1"/>
      <c r="R932" s="1"/>
    </row>
    <row r="933" ht="14.25" customHeight="1">
      <c r="A933" s="1"/>
      <c r="B933" s="163"/>
      <c r="C933" s="163"/>
      <c r="D933" s="163"/>
      <c r="E933" s="163"/>
      <c r="F933" s="163"/>
      <c r="G933" s="163"/>
      <c r="H933" s="163"/>
      <c r="I933" s="163"/>
      <c r="J933" s="163"/>
      <c r="K933" s="163"/>
      <c r="L933" s="163"/>
      <c r="M933" s="163"/>
      <c r="N933" s="163"/>
      <c r="O933" s="163"/>
      <c r="P933" s="163"/>
      <c r="Q933" s="1"/>
      <c r="R933" s="1"/>
    </row>
    <row r="934" ht="14.25" customHeight="1">
      <c r="A934" s="1"/>
      <c r="B934" s="163"/>
      <c r="C934" s="163"/>
      <c r="D934" s="163"/>
      <c r="E934" s="163"/>
      <c r="F934" s="163"/>
      <c r="G934" s="163"/>
      <c r="H934" s="163"/>
      <c r="I934" s="163"/>
      <c r="J934" s="163"/>
      <c r="K934" s="163"/>
      <c r="L934" s="163"/>
      <c r="M934" s="163"/>
      <c r="N934" s="163"/>
      <c r="O934" s="163"/>
      <c r="P934" s="163"/>
      <c r="Q934" s="1"/>
      <c r="R934" s="1"/>
    </row>
    <row r="935" ht="14.25" customHeight="1">
      <c r="A935" s="1"/>
      <c r="B935" s="163"/>
      <c r="C935" s="163"/>
      <c r="D935" s="163"/>
      <c r="E935" s="163"/>
      <c r="F935" s="163"/>
      <c r="G935" s="163"/>
      <c r="H935" s="163"/>
      <c r="I935" s="163"/>
      <c r="J935" s="163"/>
      <c r="K935" s="163"/>
      <c r="L935" s="163"/>
      <c r="M935" s="163"/>
      <c r="N935" s="163"/>
      <c r="O935" s="163"/>
      <c r="P935" s="163"/>
      <c r="Q935" s="1"/>
      <c r="R935" s="1"/>
    </row>
    <row r="936" ht="14.25" customHeight="1">
      <c r="A936" s="1"/>
      <c r="B936" s="163"/>
      <c r="C936" s="163"/>
      <c r="D936" s="163"/>
      <c r="E936" s="163"/>
      <c r="F936" s="163"/>
      <c r="G936" s="163"/>
      <c r="H936" s="163"/>
      <c r="I936" s="163"/>
      <c r="J936" s="163"/>
      <c r="K936" s="163"/>
      <c r="L936" s="163"/>
      <c r="M936" s="163"/>
      <c r="N936" s="163"/>
      <c r="O936" s="163"/>
      <c r="P936" s="163"/>
      <c r="Q936" s="1"/>
      <c r="R936" s="1"/>
    </row>
    <row r="937" ht="14.25" customHeight="1">
      <c r="A937" s="1"/>
      <c r="B937" s="163"/>
      <c r="C937" s="163"/>
      <c r="D937" s="163"/>
      <c r="E937" s="163"/>
      <c r="F937" s="163"/>
      <c r="G937" s="163"/>
      <c r="H937" s="163"/>
      <c r="I937" s="163"/>
      <c r="J937" s="163"/>
      <c r="K937" s="163"/>
      <c r="L937" s="163"/>
      <c r="M937" s="163"/>
      <c r="N937" s="163"/>
      <c r="O937" s="163"/>
      <c r="P937" s="163"/>
      <c r="Q937" s="1"/>
      <c r="R937" s="1"/>
    </row>
    <row r="938" ht="14.25" customHeight="1">
      <c r="A938" s="1"/>
      <c r="B938" s="163"/>
      <c r="C938" s="163"/>
      <c r="D938" s="163"/>
      <c r="E938" s="163"/>
      <c r="F938" s="163"/>
      <c r="G938" s="163"/>
      <c r="H938" s="163"/>
      <c r="I938" s="163"/>
      <c r="J938" s="163"/>
      <c r="K938" s="163"/>
      <c r="L938" s="163"/>
      <c r="M938" s="163"/>
      <c r="N938" s="163"/>
      <c r="O938" s="163"/>
      <c r="P938" s="163"/>
      <c r="Q938" s="1"/>
      <c r="R938" s="1"/>
    </row>
    <row r="939" ht="14.25" customHeight="1">
      <c r="A939" s="1"/>
      <c r="B939" s="163"/>
      <c r="C939" s="163"/>
      <c r="D939" s="163"/>
      <c r="E939" s="163"/>
      <c r="F939" s="163"/>
      <c r="G939" s="163"/>
      <c r="H939" s="163"/>
      <c r="I939" s="163"/>
      <c r="J939" s="163"/>
      <c r="K939" s="163"/>
      <c r="L939" s="163"/>
      <c r="M939" s="163"/>
      <c r="N939" s="163"/>
      <c r="O939" s="163"/>
      <c r="P939" s="163"/>
      <c r="Q939" s="1"/>
      <c r="R939" s="1"/>
    </row>
    <row r="940" ht="14.25" customHeight="1">
      <c r="A940" s="1"/>
      <c r="B940" s="163"/>
      <c r="C940" s="163"/>
      <c r="D940" s="163"/>
      <c r="E940" s="163"/>
      <c r="F940" s="163"/>
      <c r="G940" s="163"/>
      <c r="H940" s="163"/>
      <c r="I940" s="163"/>
      <c r="J940" s="163"/>
      <c r="K940" s="163"/>
      <c r="L940" s="163"/>
      <c r="M940" s="163"/>
      <c r="N940" s="163"/>
      <c r="O940" s="163"/>
      <c r="P940" s="163"/>
      <c r="Q940" s="1"/>
      <c r="R940" s="1"/>
    </row>
    <row r="941" ht="14.25" customHeight="1">
      <c r="A941" s="1"/>
      <c r="B941" s="163"/>
      <c r="C941" s="163"/>
      <c r="D941" s="163"/>
      <c r="E941" s="163"/>
      <c r="F941" s="163"/>
      <c r="G941" s="163"/>
      <c r="H941" s="163"/>
      <c r="I941" s="163"/>
      <c r="J941" s="163"/>
      <c r="K941" s="163"/>
      <c r="L941" s="163"/>
      <c r="M941" s="163"/>
      <c r="N941" s="163"/>
      <c r="O941" s="163"/>
      <c r="P941" s="163"/>
      <c r="Q941" s="1"/>
      <c r="R941" s="1"/>
    </row>
    <row r="942" ht="14.25" customHeight="1">
      <c r="A942" s="1"/>
      <c r="B942" s="163"/>
      <c r="C942" s="163"/>
      <c r="D942" s="163"/>
      <c r="E942" s="163"/>
      <c r="F942" s="163"/>
      <c r="G942" s="163"/>
      <c r="H942" s="163"/>
      <c r="I942" s="163"/>
      <c r="J942" s="163"/>
      <c r="K942" s="163"/>
      <c r="L942" s="163"/>
      <c r="M942" s="163"/>
      <c r="N942" s="163"/>
      <c r="O942" s="163"/>
      <c r="P942" s="163"/>
      <c r="Q942" s="1"/>
      <c r="R942" s="1"/>
    </row>
    <row r="943" ht="14.25" customHeight="1">
      <c r="A943" s="1"/>
      <c r="B943" s="163"/>
      <c r="C943" s="163"/>
      <c r="D943" s="163"/>
      <c r="E943" s="163"/>
      <c r="F943" s="163"/>
      <c r="G943" s="163"/>
      <c r="H943" s="163"/>
      <c r="I943" s="163"/>
      <c r="J943" s="163"/>
      <c r="K943" s="163"/>
      <c r="L943" s="163"/>
      <c r="M943" s="163"/>
      <c r="N943" s="163"/>
      <c r="O943" s="163"/>
      <c r="P943" s="163"/>
      <c r="Q943" s="1"/>
      <c r="R943" s="1"/>
    </row>
    <row r="944" ht="14.25" customHeight="1">
      <c r="A944" s="1"/>
      <c r="B944" s="163"/>
      <c r="C944" s="163"/>
      <c r="D944" s="163"/>
      <c r="E944" s="163"/>
      <c r="F944" s="163"/>
      <c r="G944" s="163"/>
      <c r="H944" s="163"/>
      <c r="I944" s="163"/>
      <c r="J944" s="163"/>
      <c r="K944" s="163"/>
      <c r="L944" s="163"/>
      <c r="M944" s="163"/>
      <c r="N944" s="163"/>
      <c r="O944" s="163"/>
      <c r="P944" s="163"/>
      <c r="Q944" s="1"/>
      <c r="R944" s="1"/>
    </row>
    <row r="945" ht="14.25" customHeight="1">
      <c r="A945" s="1"/>
      <c r="B945" s="163"/>
      <c r="C945" s="163"/>
      <c r="D945" s="163"/>
      <c r="E945" s="163"/>
      <c r="F945" s="163"/>
      <c r="G945" s="163"/>
      <c r="H945" s="163"/>
      <c r="I945" s="163"/>
      <c r="J945" s="163"/>
      <c r="K945" s="163"/>
      <c r="L945" s="163"/>
      <c r="M945" s="163"/>
      <c r="N945" s="163"/>
      <c r="O945" s="163"/>
      <c r="P945" s="163"/>
      <c r="Q945" s="1"/>
      <c r="R945" s="1"/>
    </row>
    <row r="946" ht="14.25" customHeight="1">
      <c r="A946" s="1"/>
      <c r="B946" s="163"/>
      <c r="C946" s="163"/>
      <c r="D946" s="163"/>
      <c r="E946" s="163"/>
      <c r="F946" s="163"/>
      <c r="G946" s="163"/>
      <c r="H946" s="163"/>
      <c r="I946" s="163"/>
      <c r="J946" s="163"/>
      <c r="K946" s="163"/>
      <c r="L946" s="163"/>
      <c r="M946" s="163"/>
      <c r="N946" s="163"/>
      <c r="O946" s="163"/>
      <c r="P946" s="163"/>
      <c r="Q946" s="1"/>
      <c r="R946" s="1"/>
    </row>
    <row r="947" ht="14.25" customHeight="1">
      <c r="A947" s="1"/>
      <c r="B947" s="163"/>
      <c r="C947" s="163"/>
      <c r="D947" s="163"/>
      <c r="E947" s="163"/>
      <c r="F947" s="163"/>
      <c r="G947" s="163"/>
      <c r="H947" s="163"/>
      <c r="I947" s="163"/>
      <c r="J947" s="163"/>
      <c r="K947" s="163"/>
      <c r="L947" s="163"/>
      <c r="M947" s="163"/>
      <c r="N947" s="163"/>
      <c r="O947" s="163"/>
      <c r="P947" s="163"/>
      <c r="Q947" s="1"/>
      <c r="R947" s="1"/>
    </row>
    <row r="948" ht="14.25" customHeight="1">
      <c r="A948" s="1"/>
      <c r="B948" s="163"/>
      <c r="C948" s="163"/>
      <c r="D948" s="163"/>
      <c r="E948" s="163"/>
      <c r="F948" s="163"/>
      <c r="G948" s="163"/>
      <c r="H948" s="163"/>
      <c r="I948" s="163"/>
      <c r="J948" s="163"/>
      <c r="K948" s="163"/>
      <c r="L948" s="163"/>
      <c r="M948" s="163"/>
      <c r="N948" s="163"/>
      <c r="O948" s="163"/>
      <c r="P948" s="163"/>
      <c r="Q948" s="1"/>
      <c r="R948" s="1"/>
    </row>
    <row r="949" ht="14.25" customHeight="1">
      <c r="A949" s="1"/>
      <c r="B949" s="163"/>
      <c r="C949" s="163"/>
      <c r="D949" s="163"/>
      <c r="E949" s="163"/>
      <c r="F949" s="163"/>
      <c r="G949" s="163"/>
      <c r="H949" s="163"/>
      <c r="I949" s="163"/>
      <c r="J949" s="163"/>
      <c r="K949" s="163"/>
      <c r="L949" s="163"/>
      <c r="M949" s="163"/>
      <c r="N949" s="163"/>
      <c r="O949" s="163"/>
      <c r="P949" s="163"/>
      <c r="Q949" s="1"/>
      <c r="R949" s="1"/>
    </row>
    <row r="950" ht="14.25" customHeight="1">
      <c r="A950" s="1"/>
      <c r="B950" s="163"/>
      <c r="C950" s="163"/>
      <c r="D950" s="163"/>
      <c r="E950" s="163"/>
      <c r="F950" s="163"/>
      <c r="G950" s="163"/>
      <c r="H950" s="163"/>
      <c r="I950" s="163"/>
      <c r="J950" s="163"/>
      <c r="K950" s="163"/>
      <c r="L950" s="163"/>
      <c r="M950" s="163"/>
      <c r="N950" s="163"/>
      <c r="O950" s="163"/>
      <c r="P950" s="163"/>
      <c r="Q950" s="1"/>
      <c r="R950" s="1"/>
    </row>
    <row r="951" ht="14.25" customHeight="1">
      <c r="A951" s="1"/>
      <c r="B951" s="163"/>
      <c r="C951" s="163"/>
      <c r="D951" s="163"/>
      <c r="E951" s="163"/>
      <c r="F951" s="163"/>
      <c r="G951" s="163"/>
      <c r="H951" s="163"/>
      <c r="I951" s="163"/>
      <c r="J951" s="163"/>
      <c r="K951" s="163"/>
      <c r="L951" s="163"/>
      <c r="M951" s="163"/>
      <c r="N951" s="163"/>
      <c r="O951" s="163"/>
      <c r="P951" s="163"/>
      <c r="Q951" s="1"/>
      <c r="R951" s="1"/>
    </row>
    <row r="952" ht="14.25" customHeight="1">
      <c r="A952" s="1"/>
      <c r="B952" s="163"/>
      <c r="C952" s="163"/>
      <c r="D952" s="163"/>
      <c r="E952" s="163"/>
      <c r="F952" s="163"/>
      <c r="G952" s="163"/>
      <c r="H952" s="163"/>
      <c r="I952" s="163"/>
      <c r="J952" s="163"/>
      <c r="K952" s="163"/>
      <c r="L952" s="163"/>
      <c r="M952" s="163"/>
      <c r="N952" s="163"/>
      <c r="O952" s="163"/>
      <c r="P952" s="163"/>
      <c r="Q952" s="1"/>
      <c r="R952" s="1"/>
    </row>
    <row r="953" ht="14.25" customHeight="1">
      <c r="A953" s="1"/>
      <c r="B953" s="163"/>
      <c r="C953" s="163"/>
      <c r="D953" s="163"/>
      <c r="E953" s="163"/>
      <c r="F953" s="163"/>
      <c r="G953" s="163"/>
      <c r="H953" s="163"/>
      <c r="I953" s="163"/>
      <c r="J953" s="163"/>
      <c r="K953" s="163"/>
      <c r="L953" s="163"/>
      <c r="M953" s="163"/>
      <c r="N953" s="163"/>
      <c r="O953" s="163"/>
      <c r="P953" s="163"/>
      <c r="Q953" s="1"/>
      <c r="R953" s="1"/>
    </row>
    <row r="954" ht="14.25" customHeight="1">
      <c r="A954" s="1"/>
      <c r="B954" s="163"/>
      <c r="C954" s="163"/>
      <c r="D954" s="163"/>
      <c r="E954" s="163"/>
      <c r="F954" s="163"/>
      <c r="G954" s="163"/>
      <c r="H954" s="163"/>
      <c r="I954" s="163"/>
      <c r="J954" s="163"/>
      <c r="K954" s="163"/>
      <c r="L954" s="163"/>
      <c r="M954" s="163"/>
      <c r="N954" s="163"/>
      <c r="O954" s="163"/>
      <c r="P954" s="163"/>
      <c r="Q954" s="1"/>
      <c r="R954" s="1"/>
    </row>
    <row r="955" ht="14.25" customHeight="1">
      <c r="A955" s="1"/>
      <c r="B955" s="163"/>
      <c r="C955" s="163"/>
      <c r="D955" s="163"/>
      <c r="E955" s="163"/>
      <c r="F955" s="163"/>
      <c r="G955" s="163"/>
      <c r="H955" s="163"/>
      <c r="I955" s="163"/>
      <c r="J955" s="163"/>
      <c r="K955" s="163"/>
      <c r="L955" s="163"/>
      <c r="M955" s="163"/>
      <c r="N955" s="163"/>
      <c r="O955" s="163"/>
      <c r="P955" s="163"/>
      <c r="Q955" s="1"/>
      <c r="R955" s="1"/>
    </row>
    <row r="956" ht="14.25" customHeight="1">
      <c r="A956" s="1"/>
      <c r="B956" s="163"/>
      <c r="C956" s="163"/>
      <c r="D956" s="163"/>
      <c r="E956" s="163"/>
      <c r="F956" s="163"/>
      <c r="G956" s="163"/>
      <c r="H956" s="163"/>
      <c r="I956" s="163"/>
      <c r="J956" s="163"/>
      <c r="K956" s="163"/>
      <c r="L956" s="163"/>
      <c r="M956" s="163"/>
      <c r="N956" s="163"/>
      <c r="O956" s="163"/>
      <c r="P956" s="163"/>
      <c r="Q956" s="1"/>
      <c r="R956" s="1"/>
    </row>
    <row r="957" ht="14.25" customHeight="1">
      <c r="A957" s="1"/>
      <c r="B957" s="163"/>
      <c r="C957" s="163"/>
      <c r="D957" s="163"/>
      <c r="E957" s="163"/>
      <c r="F957" s="163"/>
      <c r="G957" s="163"/>
      <c r="H957" s="163"/>
      <c r="I957" s="163"/>
      <c r="J957" s="163"/>
      <c r="K957" s="163"/>
      <c r="L957" s="163"/>
      <c r="M957" s="163"/>
      <c r="N957" s="163"/>
      <c r="O957" s="163"/>
      <c r="P957" s="163"/>
      <c r="Q957" s="1"/>
      <c r="R957" s="1"/>
    </row>
    <row r="958" ht="14.25" customHeight="1">
      <c r="A958" s="1"/>
      <c r="B958" s="163"/>
      <c r="C958" s="163"/>
      <c r="D958" s="163"/>
      <c r="E958" s="163"/>
      <c r="F958" s="163"/>
      <c r="G958" s="163"/>
      <c r="H958" s="163"/>
      <c r="I958" s="163"/>
      <c r="J958" s="163"/>
      <c r="K958" s="163"/>
      <c r="L958" s="163"/>
      <c r="M958" s="163"/>
      <c r="N958" s="163"/>
      <c r="O958" s="163"/>
      <c r="P958" s="163"/>
      <c r="Q958" s="1"/>
      <c r="R958" s="1"/>
    </row>
    <row r="959" ht="14.25" customHeight="1">
      <c r="A959" s="1"/>
      <c r="B959" s="163"/>
      <c r="C959" s="163"/>
      <c r="D959" s="163"/>
      <c r="E959" s="163"/>
      <c r="F959" s="163"/>
      <c r="G959" s="163"/>
      <c r="H959" s="163"/>
      <c r="I959" s="163"/>
      <c r="J959" s="163"/>
      <c r="K959" s="163"/>
      <c r="L959" s="163"/>
      <c r="M959" s="163"/>
      <c r="N959" s="163"/>
      <c r="O959" s="163"/>
      <c r="P959" s="163"/>
      <c r="Q959" s="1"/>
      <c r="R959" s="1"/>
    </row>
    <row r="960" ht="14.25" customHeight="1">
      <c r="A960" s="1"/>
      <c r="B960" s="163"/>
      <c r="C960" s="163"/>
      <c r="D960" s="163"/>
      <c r="E960" s="163"/>
      <c r="F960" s="163"/>
      <c r="G960" s="163"/>
      <c r="H960" s="163"/>
      <c r="I960" s="163"/>
      <c r="J960" s="163"/>
      <c r="K960" s="163"/>
      <c r="L960" s="163"/>
      <c r="M960" s="163"/>
      <c r="N960" s="163"/>
      <c r="O960" s="163"/>
      <c r="P960" s="163"/>
      <c r="Q960" s="1"/>
      <c r="R960" s="1"/>
    </row>
    <row r="961" ht="14.25" customHeight="1">
      <c r="A961" s="1"/>
      <c r="B961" s="163"/>
      <c r="C961" s="163"/>
      <c r="D961" s="163"/>
      <c r="E961" s="163"/>
      <c r="F961" s="163"/>
      <c r="G961" s="163"/>
      <c r="H961" s="163"/>
      <c r="I961" s="163"/>
      <c r="J961" s="163"/>
      <c r="K961" s="163"/>
      <c r="L961" s="163"/>
      <c r="M961" s="163"/>
      <c r="N961" s="163"/>
      <c r="O961" s="163"/>
      <c r="P961" s="163"/>
      <c r="Q961" s="1"/>
      <c r="R961" s="1"/>
    </row>
    <row r="962" ht="14.25" customHeight="1">
      <c r="A962" s="1"/>
      <c r="B962" s="163"/>
      <c r="C962" s="163"/>
      <c r="D962" s="163"/>
      <c r="E962" s="163"/>
      <c r="F962" s="163"/>
      <c r="G962" s="163"/>
      <c r="H962" s="163"/>
      <c r="I962" s="163"/>
      <c r="J962" s="163"/>
      <c r="K962" s="163"/>
      <c r="L962" s="163"/>
      <c r="M962" s="163"/>
      <c r="N962" s="163"/>
      <c r="O962" s="163"/>
      <c r="P962" s="163"/>
      <c r="Q962" s="1"/>
      <c r="R962" s="1"/>
    </row>
    <row r="963" ht="14.25" customHeight="1">
      <c r="A963" s="1"/>
      <c r="B963" s="163"/>
      <c r="C963" s="163"/>
      <c r="D963" s="163"/>
      <c r="E963" s="163"/>
      <c r="F963" s="163"/>
      <c r="G963" s="163"/>
      <c r="H963" s="163"/>
      <c r="I963" s="163"/>
      <c r="J963" s="163"/>
      <c r="K963" s="163"/>
      <c r="L963" s="163"/>
      <c r="M963" s="163"/>
      <c r="N963" s="163"/>
      <c r="O963" s="163"/>
      <c r="P963" s="163"/>
      <c r="Q963" s="1"/>
      <c r="R963" s="1"/>
    </row>
    <row r="964" ht="14.25" customHeight="1">
      <c r="A964" s="1"/>
      <c r="B964" s="163"/>
      <c r="C964" s="163"/>
      <c r="D964" s="163"/>
      <c r="E964" s="163"/>
      <c r="F964" s="163"/>
      <c r="G964" s="163"/>
      <c r="H964" s="163"/>
      <c r="I964" s="163"/>
      <c r="J964" s="163"/>
      <c r="K964" s="163"/>
      <c r="L964" s="163"/>
      <c r="M964" s="163"/>
      <c r="N964" s="163"/>
      <c r="O964" s="163"/>
      <c r="P964" s="163"/>
      <c r="Q964" s="1"/>
      <c r="R964" s="1"/>
    </row>
    <row r="965" ht="14.25" customHeight="1">
      <c r="A965" s="1"/>
      <c r="B965" s="163"/>
      <c r="C965" s="163"/>
      <c r="D965" s="163"/>
      <c r="E965" s="163"/>
      <c r="F965" s="163"/>
      <c r="G965" s="163"/>
      <c r="H965" s="163"/>
      <c r="I965" s="163"/>
      <c r="J965" s="163"/>
      <c r="K965" s="163"/>
      <c r="L965" s="163"/>
      <c r="M965" s="163"/>
      <c r="N965" s="163"/>
      <c r="O965" s="163"/>
      <c r="P965" s="163"/>
      <c r="Q965" s="1"/>
      <c r="R965" s="1"/>
    </row>
    <row r="966" ht="14.25" customHeight="1">
      <c r="A966" s="1"/>
      <c r="B966" s="163"/>
      <c r="C966" s="163"/>
      <c r="D966" s="163"/>
      <c r="E966" s="163"/>
      <c r="F966" s="163"/>
      <c r="G966" s="163"/>
      <c r="H966" s="163"/>
      <c r="I966" s="163"/>
      <c r="J966" s="163"/>
      <c r="K966" s="163"/>
      <c r="L966" s="163"/>
      <c r="M966" s="163"/>
      <c r="N966" s="163"/>
      <c r="O966" s="163"/>
      <c r="P966" s="163"/>
      <c r="Q966" s="1"/>
      <c r="R966" s="1"/>
    </row>
    <row r="967" ht="14.25" customHeight="1">
      <c r="A967" s="1"/>
      <c r="B967" s="163"/>
      <c r="C967" s="163"/>
      <c r="D967" s="163"/>
      <c r="E967" s="163"/>
      <c r="F967" s="163"/>
      <c r="G967" s="163"/>
      <c r="H967" s="163"/>
      <c r="I967" s="163"/>
      <c r="J967" s="163"/>
      <c r="K967" s="163"/>
      <c r="L967" s="163"/>
      <c r="M967" s="163"/>
      <c r="N967" s="163"/>
      <c r="O967" s="163"/>
      <c r="P967" s="163"/>
      <c r="Q967" s="1"/>
      <c r="R967" s="1"/>
    </row>
    <row r="968" ht="14.25" customHeight="1">
      <c r="A968" s="1"/>
      <c r="B968" s="163"/>
      <c r="C968" s="163"/>
      <c r="D968" s="163"/>
      <c r="E968" s="163"/>
      <c r="F968" s="163"/>
      <c r="G968" s="163"/>
      <c r="H968" s="163"/>
      <c r="I968" s="163"/>
      <c r="J968" s="163"/>
      <c r="K968" s="163"/>
      <c r="L968" s="163"/>
      <c r="M968" s="163"/>
      <c r="N968" s="163"/>
      <c r="O968" s="163"/>
      <c r="P968" s="163"/>
      <c r="Q968" s="1"/>
      <c r="R968" s="1"/>
    </row>
    <row r="969" ht="14.25" customHeight="1">
      <c r="A969" s="1"/>
      <c r="B969" s="163"/>
      <c r="C969" s="163"/>
      <c r="D969" s="163"/>
      <c r="E969" s="163"/>
      <c r="F969" s="163"/>
      <c r="G969" s="163"/>
      <c r="H969" s="163"/>
      <c r="I969" s="163"/>
      <c r="J969" s="163"/>
      <c r="K969" s="163"/>
      <c r="L969" s="163"/>
      <c r="M969" s="163"/>
      <c r="N969" s="163"/>
      <c r="O969" s="163"/>
      <c r="P969" s="163"/>
      <c r="Q969" s="1"/>
      <c r="R969" s="1"/>
    </row>
    <row r="970" ht="14.25" customHeight="1">
      <c r="A970" s="1"/>
      <c r="B970" s="163"/>
      <c r="C970" s="163"/>
      <c r="D970" s="163"/>
      <c r="E970" s="163"/>
      <c r="F970" s="163"/>
      <c r="G970" s="163"/>
      <c r="H970" s="163"/>
      <c r="I970" s="163"/>
      <c r="J970" s="163"/>
      <c r="K970" s="163"/>
      <c r="L970" s="163"/>
      <c r="M970" s="163"/>
      <c r="N970" s="163"/>
      <c r="O970" s="163"/>
      <c r="P970" s="163"/>
      <c r="Q970" s="1"/>
      <c r="R970" s="1"/>
    </row>
    <row r="971" ht="14.25" customHeight="1">
      <c r="A971" s="1"/>
      <c r="B971" s="163"/>
      <c r="C971" s="163"/>
      <c r="D971" s="163"/>
      <c r="E971" s="163"/>
      <c r="F971" s="163"/>
      <c r="G971" s="163"/>
      <c r="H971" s="163"/>
      <c r="I971" s="163"/>
      <c r="J971" s="163"/>
      <c r="K971" s="163"/>
      <c r="L971" s="163"/>
      <c r="M971" s="163"/>
      <c r="N971" s="163"/>
      <c r="O971" s="163"/>
      <c r="P971" s="163"/>
      <c r="Q971" s="1"/>
      <c r="R971" s="1"/>
    </row>
    <row r="972" ht="14.25" customHeight="1">
      <c r="A972" s="1"/>
      <c r="B972" s="163"/>
      <c r="C972" s="163"/>
      <c r="D972" s="163"/>
      <c r="E972" s="163"/>
      <c r="F972" s="163"/>
      <c r="G972" s="163"/>
      <c r="H972" s="163"/>
      <c r="I972" s="163"/>
      <c r="J972" s="163"/>
      <c r="K972" s="163"/>
      <c r="L972" s="163"/>
      <c r="M972" s="163"/>
      <c r="N972" s="163"/>
      <c r="O972" s="163"/>
      <c r="P972" s="163"/>
      <c r="Q972" s="1"/>
      <c r="R972" s="1"/>
    </row>
    <row r="973" ht="14.25" customHeight="1">
      <c r="A973" s="1"/>
      <c r="B973" s="163"/>
      <c r="C973" s="163"/>
      <c r="D973" s="163"/>
      <c r="E973" s="163"/>
      <c r="F973" s="163"/>
      <c r="G973" s="163"/>
      <c r="H973" s="163"/>
      <c r="I973" s="163"/>
      <c r="J973" s="163"/>
      <c r="K973" s="163"/>
      <c r="L973" s="163"/>
      <c r="M973" s="163"/>
      <c r="N973" s="163"/>
      <c r="O973" s="163"/>
      <c r="P973" s="163"/>
      <c r="Q973" s="1"/>
      <c r="R973" s="1"/>
    </row>
    <row r="974" ht="14.25" customHeight="1">
      <c r="A974" s="1"/>
      <c r="B974" s="163"/>
      <c r="C974" s="163"/>
      <c r="D974" s="163"/>
      <c r="E974" s="163"/>
      <c r="F974" s="163"/>
      <c r="G974" s="163"/>
      <c r="H974" s="163"/>
      <c r="I974" s="163"/>
      <c r="J974" s="163"/>
      <c r="K974" s="163"/>
      <c r="L974" s="163"/>
      <c r="M974" s="163"/>
      <c r="N974" s="163"/>
      <c r="O974" s="163"/>
      <c r="P974" s="163"/>
      <c r="Q974" s="1"/>
      <c r="R974" s="1"/>
    </row>
    <row r="975" ht="14.25" customHeight="1">
      <c r="A975" s="1"/>
      <c r="B975" s="163"/>
      <c r="C975" s="163"/>
      <c r="D975" s="163"/>
      <c r="E975" s="163"/>
      <c r="F975" s="163"/>
      <c r="G975" s="163"/>
      <c r="H975" s="163"/>
      <c r="I975" s="163"/>
      <c r="J975" s="163"/>
      <c r="K975" s="163"/>
      <c r="L975" s="163"/>
      <c r="M975" s="163"/>
      <c r="N975" s="163"/>
      <c r="O975" s="163"/>
      <c r="P975" s="163"/>
      <c r="Q975" s="1"/>
      <c r="R975" s="1"/>
    </row>
    <row r="976" ht="14.25" customHeight="1">
      <c r="A976" s="1"/>
      <c r="B976" s="163"/>
      <c r="C976" s="163"/>
      <c r="D976" s="163"/>
      <c r="E976" s="163"/>
      <c r="F976" s="163"/>
      <c r="G976" s="163"/>
      <c r="H976" s="163"/>
      <c r="I976" s="163"/>
      <c r="J976" s="163"/>
      <c r="K976" s="163"/>
      <c r="L976" s="163"/>
      <c r="M976" s="163"/>
      <c r="N976" s="163"/>
      <c r="O976" s="163"/>
      <c r="P976" s="163"/>
      <c r="Q976" s="1"/>
      <c r="R976" s="1"/>
    </row>
    <row r="977" ht="14.25" customHeight="1">
      <c r="A977" s="1"/>
      <c r="B977" s="163"/>
      <c r="C977" s="163"/>
      <c r="D977" s="163"/>
      <c r="E977" s="163"/>
      <c r="F977" s="163"/>
      <c r="G977" s="163"/>
      <c r="H977" s="163"/>
      <c r="I977" s="163"/>
      <c r="J977" s="163"/>
      <c r="K977" s="163"/>
      <c r="L977" s="163"/>
      <c r="M977" s="163"/>
      <c r="N977" s="163"/>
      <c r="O977" s="163"/>
      <c r="P977" s="163"/>
      <c r="Q977" s="1"/>
      <c r="R977" s="1"/>
    </row>
    <row r="978" ht="14.25" customHeight="1">
      <c r="A978" s="1"/>
      <c r="B978" s="163"/>
      <c r="C978" s="163"/>
      <c r="D978" s="163"/>
      <c r="E978" s="163"/>
      <c r="F978" s="163"/>
      <c r="G978" s="163"/>
      <c r="H978" s="163"/>
      <c r="I978" s="163"/>
      <c r="J978" s="163"/>
      <c r="K978" s="163"/>
      <c r="L978" s="163"/>
      <c r="M978" s="163"/>
      <c r="N978" s="163"/>
      <c r="O978" s="163"/>
      <c r="P978" s="163"/>
      <c r="Q978" s="1"/>
      <c r="R978" s="1"/>
    </row>
    <row r="979" ht="14.25" customHeight="1">
      <c r="A979" s="1"/>
      <c r="B979" s="163"/>
      <c r="C979" s="163"/>
      <c r="D979" s="163"/>
      <c r="E979" s="163"/>
      <c r="F979" s="163"/>
      <c r="G979" s="163"/>
      <c r="H979" s="163"/>
      <c r="I979" s="163"/>
      <c r="J979" s="163"/>
      <c r="K979" s="163"/>
      <c r="L979" s="163"/>
      <c r="M979" s="163"/>
      <c r="N979" s="163"/>
      <c r="O979" s="163"/>
      <c r="P979" s="163"/>
      <c r="Q979" s="1"/>
      <c r="R979" s="1"/>
    </row>
    <row r="980" ht="14.25" customHeight="1">
      <c r="A980" s="1"/>
      <c r="B980" s="163"/>
      <c r="C980" s="163"/>
      <c r="D980" s="163"/>
      <c r="E980" s="163"/>
      <c r="F980" s="163"/>
      <c r="G980" s="163"/>
      <c r="H980" s="163"/>
      <c r="I980" s="163"/>
      <c r="J980" s="163"/>
      <c r="K980" s="163"/>
      <c r="L980" s="163"/>
      <c r="M980" s="163"/>
      <c r="N980" s="163"/>
      <c r="O980" s="163"/>
      <c r="P980" s="163"/>
      <c r="Q980" s="1"/>
      <c r="R980" s="1"/>
    </row>
    <row r="981" ht="14.25" customHeight="1">
      <c r="A981" s="1"/>
      <c r="B981" s="163"/>
      <c r="C981" s="163"/>
      <c r="D981" s="163"/>
      <c r="E981" s="163"/>
      <c r="F981" s="163"/>
      <c r="G981" s="163"/>
      <c r="H981" s="163"/>
      <c r="I981" s="163"/>
      <c r="J981" s="163"/>
      <c r="K981" s="163"/>
      <c r="L981" s="163"/>
      <c r="M981" s="163"/>
      <c r="N981" s="163"/>
      <c r="O981" s="163"/>
      <c r="P981" s="163"/>
      <c r="Q981" s="1"/>
      <c r="R981" s="1"/>
    </row>
    <row r="982" ht="14.25" customHeight="1">
      <c r="A982" s="1"/>
      <c r="B982" s="163"/>
      <c r="C982" s="163"/>
      <c r="D982" s="163"/>
      <c r="E982" s="163"/>
      <c r="F982" s="163"/>
      <c r="G982" s="163"/>
      <c r="H982" s="163"/>
      <c r="I982" s="163"/>
      <c r="J982" s="163"/>
      <c r="K982" s="163"/>
      <c r="L982" s="163"/>
      <c r="M982" s="163"/>
      <c r="N982" s="163"/>
      <c r="O982" s="163"/>
      <c r="P982" s="163"/>
      <c r="Q982" s="1"/>
      <c r="R982" s="1"/>
    </row>
    <row r="983" ht="14.25" customHeight="1">
      <c r="A983" s="1"/>
      <c r="B983" s="163"/>
      <c r="C983" s="163"/>
      <c r="D983" s="163"/>
      <c r="E983" s="163"/>
      <c r="F983" s="163"/>
      <c r="G983" s="163"/>
      <c r="H983" s="163"/>
      <c r="I983" s="163"/>
      <c r="J983" s="163"/>
      <c r="K983" s="163"/>
      <c r="L983" s="163"/>
      <c r="M983" s="163"/>
      <c r="N983" s="163"/>
      <c r="O983" s="163"/>
      <c r="P983" s="163"/>
      <c r="Q983" s="1"/>
      <c r="R983" s="1"/>
    </row>
    <row r="984" ht="14.25" customHeight="1">
      <c r="A984" s="1"/>
      <c r="B984" s="163"/>
      <c r="C984" s="163"/>
      <c r="D984" s="163"/>
      <c r="E984" s="163"/>
      <c r="F984" s="163"/>
      <c r="G984" s="163"/>
      <c r="H984" s="163"/>
      <c r="I984" s="163"/>
      <c r="J984" s="163"/>
      <c r="K984" s="163"/>
      <c r="L984" s="163"/>
      <c r="M984" s="163"/>
      <c r="N984" s="163"/>
      <c r="O984" s="163"/>
      <c r="P984" s="163"/>
      <c r="Q984" s="1"/>
      <c r="R984" s="1"/>
    </row>
    <row r="985" ht="14.25" customHeight="1">
      <c r="A985" s="1"/>
      <c r="B985" s="163"/>
      <c r="C985" s="163"/>
      <c r="D985" s="163"/>
      <c r="E985" s="163"/>
      <c r="F985" s="163"/>
      <c r="G985" s="163"/>
      <c r="H985" s="163"/>
      <c r="I985" s="163"/>
      <c r="J985" s="163"/>
      <c r="K985" s="163"/>
      <c r="L985" s="163"/>
      <c r="M985" s="163"/>
      <c r="N985" s="163"/>
      <c r="O985" s="163"/>
      <c r="P985" s="163"/>
      <c r="Q985" s="1"/>
      <c r="R985" s="1"/>
    </row>
    <row r="986" ht="14.25" customHeight="1">
      <c r="A986" s="1"/>
      <c r="B986" s="163"/>
      <c r="C986" s="163"/>
      <c r="D986" s="163"/>
      <c r="E986" s="163"/>
      <c r="F986" s="163"/>
      <c r="G986" s="163"/>
      <c r="H986" s="163"/>
      <c r="I986" s="163"/>
      <c r="J986" s="163"/>
      <c r="K986" s="163"/>
      <c r="L986" s="163"/>
      <c r="M986" s="163"/>
      <c r="N986" s="163"/>
      <c r="O986" s="163"/>
      <c r="P986" s="163"/>
      <c r="Q986" s="1"/>
      <c r="R986" s="1"/>
    </row>
    <row r="987" ht="14.25" customHeight="1">
      <c r="A987" s="1"/>
      <c r="B987" s="163"/>
      <c r="C987" s="163"/>
      <c r="D987" s="163"/>
      <c r="E987" s="163"/>
      <c r="F987" s="163"/>
      <c r="G987" s="163"/>
      <c r="H987" s="163"/>
      <c r="I987" s="163"/>
      <c r="J987" s="163"/>
      <c r="K987" s="163"/>
      <c r="L987" s="163"/>
      <c r="M987" s="163"/>
      <c r="N987" s="163"/>
      <c r="O987" s="163"/>
      <c r="P987" s="163"/>
      <c r="Q987" s="1"/>
      <c r="R987" s="1"/>
    </row>
    <row r="988" ht="14.25" customHeight="1">
      <c r="A988" s="1"/>
      <c r="B988" s="163"/>
      <c r="C988" s="163"/>
      <c r="D988" s="163"/>
      <c r="E988" s="163"/>
      <c r="F988" s="163"/>
      <c r="G988" s="163"/>
      <c r="H988" s="163"/>
      <c r="I988" s="163"/>
      <c r="J988" s="163"/>
      <c r="K988" s="163"/>
      <c r="L988" s="163"/>
      <c r="M988" s="163"/>
      <c r="N988" s="163"/>
      <c r="O988" s="163"/>
      <c r="P988" s="163"/>
      <c r="Q988" s="1"/>
      <c r="R988" s="1"/>
    </row>
    <row r="989" ht="14.25" customHeight="1">
      <c r="A989" s="1"/>
      <c r="B989" s="163"/>
      <c r="C989" s="163"/>
      <c r="D989" s="163"/>
      <c r="E989" s="163"/>
      <c r="F989" s="163"/>
      <c r="G989" s="163"/>
      <c r="H989" s="163"/>
      <c r="I989" s="163"/>
      <c r="J989" s="163"/>
      <c r="K989" s="163"/>
      <c r="L989" s="163"/>
      <c r="M989" s="163"/>
      <c r="N989" s="163"/>
      <c r="O989" s="163"/>
      <c r="P989" s="163"/>
      <c r="Q989" s="1"/>
      <c r="R989" s="1"/>
    </row>
    <row r="990" ht="14.25" customHeight="1">
      <c r="A990" s="1"/>
      <c r="B990" s="163"/>
      <c r="C990" s="163"/>
      <c r="D990" s="163"/>
      <c r="E990" s="163"/>
      <c r="F990" s="163"/>
      <c r="G990" s="163"/>
      <c r="H990" s="163"/>
      <c r="I990" s="163"/>
      <c r="J990" s="163"/>
      <c r="K990" s="163"/>
      <c r="L990" s="163"/>
      <c r="M990" s="163"/>
      <c r="N990" s="163"/>
      <c r="O990" s="163"/>
      <c r="P990" s="163"/>
      <c r="Q990" s="1"/>
      <c r="R990" s="1"/>
    </row>
    <row r="991" ht="14.25" customHeight="1">
      <c r="A991" s="1"/>
      <c r="B991" s="163"/>
      <c r="C991" s="163"/>
      <c r="D991" s="163"/>
      <c r="E991" s="163"/>
      <c r="F991" s="163"/>
      <c r="G991" s="163"/>
      <c r="H991" s="163"/>
      <c r="I991" s="163"/>
      <c r="J991" s="163"/>
      <c r="K991" s="163"/>
      <c r="L991" s="163"/>
      <c r="M991" s="163"/>
      <c r="N991" s="163"/>
      <c r="O991" s="163"/>
      <c r="P991" s="163"/>
      <c r="Q991" s="1"/>
      <c r="R991" s="1"/>
    </row>
    <row r="992" ht="14.25" customHeight="1">
      <c r="A992" s="1"/>
      <c r="B992" s="163"/>
      <c r="C992" s="163"/>
      <c r="D992" s="163"/>
      <c r="E992" s="163"/>
      <c r="F992" s="163"/>
      <c r="G992" s="163"/>
      <c r="H992" s="163"/>
      <c r="I992" s="163"/>
      <c r="J992" s="163"/>
      <c r="K992" s="163"/>
      <c r="L992" s="163"/>
      <c r="M992" s="163"/>
      <c r="N992" s="163"/>
      <c r="O992" s="163"/>
      <c r="P992" s="163"/>
      <c r="Q992" s="1"/>
      <c r="R992" s="1"/>
    </row>
    <row r="993" ht="14.25" customHeight="1">
      <c r="A993" s="1"/>
      <c r="B993" s="163"/>
      <c r="C993" s="163"/>
      <c r="D993" s="163"/>
      <c r="E993" s="163"/>
      <c r="F993" s="163"/>
      <c r="G993" s="163"/>
      <c r="H993" s="163"/>
      <c r="I993" s="163"/>
      <c r="J993" s="163"/>
      <c r="K993" s="163"/>
      <c r="L993" s="163"/>
      <c r="M993" s="163"/>
      <c r="N993" s="163"/>
      <c r="O993" s="163"/>
      <c r="P993" s="163"/>
      <c r="Q993" s="1"/>
      <c r="R993" s="1"/>
    </row>
    <row r="994" ht="14.25" customHeight="1">
      <c r="A994" s="1"/>
      <c r="B994" s="163"/>
      <c r="C994" s="163"/>
      <c r="D994" s="163"/>
      <c r="E994" s="163"/>
      <c r="F994" s="163"/>
      <c r="G994" s="163"/>
      <c r="H994" s="163"/>
      <c r="I994" s="163"/>
      <c r="J994" s="163"/>
      <c r="K994" s="163"/>
      <c r="L994" s="163"/>
      <c r="M994" s="163"/>
      <c r="N994" s="163"/>
      <c r="O994" s="163"/>
      <c r="P994" s="163"/>
      <c r="Q994" s="1"/>
      <c r="R994" s="1"/>
    </row>
    <row r="995" ht="14.25" customHeight="1">
      <c r="A995" s="1"/>
      <c r="B995" s="163"/>
      <c r="C995" s="163"/>
      <c r="D995" s="163"/>
      <c r="E995" s="163"/>
      <c r="F995" s="163"/>
      <c r="G995" s="163"/>
      <c r="H995" s="163"/>
      <c r="I995" s="163"/>
      <c r="J995" s="163"/>
      <c r="K995" s="163"/>
      <c r="L995" s="163"/>
      <c r="M995" s="163"/>
      <c r="N995" s="163"/>
      <c r="O995" s="163"/>
      <c r="P995" s="163"/>
      <c r="Q995" s="1"/>
      <c r="R995" s="1"/>
    </row>
    <row r="996" ht="14.25" customHeight="1">
      <c r="A996" s="1"/>
      <c r="B996" s="163"/>
      <c r="C996" s="163"/>
      <c r="D996" s="163"/>
      <c r="E996" s="163"/>
      <c r="F996" s="163"/>
      <c r="G996" s="163"/>
      <c r="H996" s="163"/>
      <c r="I996" s="163"/>
      <c r="J996" s="163"/>
      <c r="K996" s="163"/>
      <c r="L996" s="163"/>
      <c r="M996" s="163"/>
      <c r="N996" s="163"/>
      <c r="O996" s="163"/>
      <c r="P996" s="163"/>
      <c r="Q996" s="1"/>
      <c r="R996" s="1"/>
    </row>
    <row r="997" ht="14.25" customHeight="1">
      <c r="A997" s="1"/>
      <c r="B997" s="163"/>
      <c r="C997" s="163"/>
      <c r="D997" s="163"/>
      <c r="E997" s="163"/>
      <c r="F997" s="163"/>
      <c r="G997" s="163"/>
      <c r="H997" s="163"/>
      <c r="I997" s="163"/>
      <c r="J997" s="163"/>
      <c r="K997" s="163"/>
      <c r="L997" s="163"/>
      <c r="M997" s="163"/>
      <c r="N997" s="163"/>
      <c r="O997" s="163"/>
      <c r="P997" s="163"/>
      <c r="Q997" s="1"/>
      <c r="R997" s="1"/>
    </row>
    <row r="998" ht="14.25" customHeight="1">
      <c r="A998" s="1"/>
      <c r="B998" s="163"/>
      <c r="C998" s="163"/>
      <c r="D998" s="163"/>
      <c r="E998" s="163"/>
      <c r="F998" s="163"/>
      <c r="G998" s="163"/>
      <c r="H998" s="163"/>
      <c r="I998" s="163"/>
      <c r="J998" s="163"/>
      <c r="K998" s="163"/>
      <c r="L998" s="163"/>
      <c r="M998" s="163"/>
      <c r="N998" s="163"/>
      <c r="O998" s="163"/>
      <c r="P998" s="163"/>
      <c r="Q998" s="1"/>
      <c r="R998" s="1"/>
    </row>
    <row r="999" ht="14.25" customHeight="1">
      <c r="A999" s="1"/>
      <c r="B999" s="163"/>
      <c r="C999" s="163"/>
      <c r="D999" s="163"/>
      <c r="E999" s="163"/>
      <c r="F999" s="163"/>
      <c r="G999" s="163"/>
      <c r="H999" s="163"/>
      <c r="I999" s="163"/>
      <c r="J999" s="163"/>
      <c r="K999" s="163"/>
      <c r="L999" s="163"/>
      <c r="M999" s="163"/>
      <c r="N999" s="163"/>
      <c r="O999" s="163"/>
      <c r="P999" s="163"/>
      <c r="Q999" s="1"/>
      <c r="R999" s="1"/>
    </row>
    <row r="1000" ht="14.25" customHeight="1">
      <c r="A1000" s="1"/>
      <c r="B1000" s="163"/>
      <c r="C1000" s="163"/>
      <c r="D1000" s="163"/>
      <c r="E1000" s="163"/>
      <c r="F1000" s="163"/>
      <c r="G1000" s="163"/>
      <c r="H1000" s="163"/>
      <c r="I1000" s="163"/>
      <c r="J1000" s="163"/>
      <c r="K1000" s="163"/>
      <c r="L1000" s="163"/>
      <c r="M1000" s="163"/>
      <c r="N1000" s="163"/>
      <c r="O1000" s="163"/>
      <c r="P1000" s="163"/>
      <c r="Q1000" s="1"/>
      <c r="R1000" s="1"/>
    </row>
    <row r="1001" ht="14.25" customHeight="1">
      <c r="A1001" s="1"/>
      <c r="B1001" s="163"/>
      <c r="C1001" s="163"/>
      <c r="D1001" s="163"/>
      <c r="E1001" s="163"/>
      <c r="F1001" s="163"/>
      <c r="G1001" s="163"/>
      <c r="H1001" s="163"/>
      <c r="I1001" s="163"/>
      <c r="J1001" s="163"/>
      <c r="K1001" s="163"/>
      <c r="L1001" s="163"/>
      <c r="M1001" s="163"/>
      <c r="N1001" s="163"/>
      <c r="O1001" s="163"/>
      <c r="P1001" s="163"/>
      <c r="Q1001" s="1"/>
      <c r="R1001" s="1"/>
    </row>
    <row r="1002" ht="14.25" customHeight="1">
      <c r="A1002" s="1"/>
      <c r="B1002" s="163"/>
      <c r="C1002" s="163"/>
      <c r="D1002" s="163"/>
      <c r="E1002" s="163"/>
      <c r="F1002" s="163"/>
      <c r="G1002" s="163"/>
      <c r="H1002" s="163"/>
      <c r="I1002" s="163"/>
      <c r="J1002" s="163"/>
      <c r="K1002" s="163"/>
      <c r="L1002" s="163"/>
      <c r="M1002" s="163"/>
      <c r="N1002" s="163"/>
      <c r="O1002" s="163"/>
      <c r="P1002" s="163"/>
      <c r="Q1002" s="1"/>
      <c r="R1002" s="1"/>
    </row>
    <row r="1003" ht="14.25" customHeight="1">
      <c r="A1003" s="1"/>
      <c r="B1003" s="163"/>
      <c r="C1003" s="163"/>
      <c r="D1003" s="163"/>
      <c r="E1003" s="163"/>
      <c r="F1003" s="163"/>
      <c r="G1003" s="163"/>
      <c r="H1003" s="163"/>
      <c r="I1003" s="163"/>
      <c r="J1003" s="163"/>
      <c r="K1003" s="163"/>
      <c r="L1003" s="163"/>
      <c r="M1003" s="163"/>
      <c r="N1003" s="163"/>
      <c r="O1003" s="163"/>
      <c r="P1003" s="163"/>
      <c r="Q1003" s="1"/>
      <c r="R1003" s="1"/>
    </row>
    <row r="1004" ht="14.25" customHeight="1">
      <c r="A1004" s="1"/>
      <c r="B1004" s="163"/>
      <c r="C1004" s="163"/>
      <c r="D1004" s="163"/>
      <c r="E1004" s="163"/>
      <c r="F1004" s="163"/>
      <c r="G1004" s="163"/>
      <c r="H1004" s="163"/>
      <c r="I1004" s="163"/>
      <c r="J1004" s="163"/>
      <c r="K1004" s="163"/>
      <c r="L1004" s="163"/>
      <c r="M1004" s="163"/>
      <c r="N1004" s="163"/>
      <c r="O1004" s="163"/>
      <c r="P1004" s="163"/>
      <c r="Q1004" s="1"/>
      <c r="R1004" s="1"/>
    </row>
    <row r="1005" ht="14.25" customHeight="1">
      <c r="A1005" s="1"/>
      <c r="B1005" s="163"/>
      <c r="C1005" s="163"/>
      <c r="D1005" s="163"/>
      <c r="E1005" s="163"/>
      <c r="F1005" s="163"/>
      <c r="G1005" s="163"/>
      <c r="H1005" s="163"/>
      <c r="I1005" s="163"/>
      <c r="J1005" s="163"/>
      <c r="K1005" s="163"/>
      <c r="L1005" s="163"/>
      <c r="M1005" s="163"/>
      <c r="N1005" s="163"/>
      <c r="O1005" s="163"/>
      <c r="P1005" s="163"/>
      <c r="Q1005" s="1"/>
      <c r="R1005" s="1"/>
    </row>
    <row r="1006" ht="14.25" customHeight="1">
      <c r="A1006" s="1"/>
      <c r="B1006" s="163"/>
      <c r="C1006" s="163"/>
      <c r="D1006" s="163"/>
      <c r="E1006" s="163"/>
      <c r="F1006" s="163"/>
      <c r="G1006" s="163"/>
      <c r="H1006" s="163"/>
      <c r="I1006" s="163"/>
      <c r="J1006" s="163"/>
      <c r="K1006" s="163"/>
      <c r="L1006" s="163"/>
      <c r="M1006" s="163"/>
      <c r="N1006" s="163"/>
      <c r="O1006" s="163"/>
      <c r="P1006" s="163"/>
      <c r="Q1006" s="1"/>
      <c r="R1006" s="1"/>
    </row>
    <row r="1007" ht="14.25" customHeight="1">
      <c r="A1007" s="1"/>
      <c r="B1007" s="163"/>
      <c r="C1007" s="163"/>
      <c r="D1007" s="163"/>
      <c r="E1007" s="163"/>
      <c r="F1007" s="163"/>
      <c r="G1007" s="163"/>
      <c r="H1007" s="163"/>
      <c r="I1007" s="163"/>
      <c r="J1007" s="163"/>
      <c r="K1007" s="163"/>
      <c r="L1007" s="163"/>
      <c r="M1007" s="163"/>
      <c r="N1007" s="163"/>
      <c r="O1007" s="163"/>
      <c r="P1007" s="163"/>
      <c r="Q1007" s="1"/>
      <c r="R1007" s="1"/>
    </row>
    <row r="1008" ht="14.25" customHeight="1">
      <c r="A1008" s="1"/>
      <c r="B1008" s="163"/>
      <c r="C1008" s="163"/>
      <c r="D1008" s="163"/>
      <c r="E1008" s="163"/>
      <c r="F1008" s="163"/>
      <c r="G1008" s="163"/>
      <c r="H1008" s="163"/>
      <c r="I1008" s="163"/>
      <c r="J1008" s="163"/>
      <c r="K1008" s="163"/>
      <c r="L1008" s="163"/>
      <c r="M1008" s="163"/>
      <c r="N1008" s="163"/>
      <c r="O1008" s="163"/>
      <c r="P1008" s="163"/>
      <c r="Q1008" s="1"/>
      <c r="R1008" s="1"/>
    </row>
    <row r="1009" ht="14.25" customHeight="1">
      <c r="A1009" s="1"/>
      <c r="B1009" s="163"/>
      <c r="C1009" s="163"/>
      <c r="D1009" s="163"/>
      <c r="E1009" s="163"/>
      <c r="F1009" s="163"/>
      <c r="G1009" s="163"/>
      <c r="H1009" s="163"/>
      <c r="I1009" s="163"/>
      <c r="J1009" s="163"/>
      <c r="K1009" s="163"/>
      <c r="L1009" s="163"/>
      <c r="M1009" s="163"/>
      <c r="N1009" s="163"/>
      <c r="O1009" s="163"/>
      <c r="P1009" s="163"/>
      <c r="Q1009" s="1"/>
      <c r="R1009" s="1"/>
    </row>
    <row r="1010" ht="14.25" customHeight="1">
      <c r="A1010" s="1"/>
      <c r="B1010" s="163"/>
      <c r="C1010" s="163"/>
      <c r="D1010" s="163"/>
      <c r="E1010" s="163"/>
      <c r="F1010" s="163"/>
      <c r="G1010" s="163"/>
      <c r="H1010" s="163"/>
      <c r="I1010" s="163"/>
      <c r="J1010" s="163"/>
      <c r="K1010" s="163"/>
      <c r="L1010" s="163"/>
      <c r="M1010" s="163"/>
      <c r="N1010" s="163"/>
      <c r="O1010" s="163"/>
      <c r="P1010" s="163"/>
      <c r="Q1010" s="1"/>
      <c r="R1010" s="1"/>
    </row>
    <row r="1011" ht="14.25" customHeight="1">
      <c r="A1011" s="1"/>
      <c r="B1011" s="163"/>
      <c r="C1011" s="163"/>
      <c r="D1011" s="163"/>
      <c r="E1011" s="163"/>
      <c r="F1011" s="163"/>
      <c r="G1011" s="163"/>
      <c r="H1011" s="163"/>
      <c r="I1011" s="163"/>
      <c r="J1011" s="163"/>
      <c r="K1011" s="163"/>
      <c r="L1011" s="163"/>
      <c r="M1011" s="163"/>
      <c r="N1011" s="163"/>
      <c r="O1011" s="163"/>
      <c r="P1011" s="163"/>
      <c r="Q1011" s="1"/>
      <c r="R1011" s="1"/>
    </row>
    <row r="1012" ht="14.25" customHeight="1">
      <c r="A1012" s="1"/>
      <c r="B1012" s="163"/>
      <c r="C1012" s="163"/>
      <c r="D1012" s="163"/>
      <c r="E1012" s="163"/>
      <c r="F1012" s="163"/>
      <c r="G1012" s="163"/>
      <c r="H1012" s="163"/>
      <c r="I1012" s="163"/>
      <c r="J1012" s="163"/>
      <c r="K1012" s="163"/>
      <c r="L1012" s="163"/>
      <c r="M1012" s="163"/>
      <c r="N1012" s="163"/>
      <c r="O1012" s="163"/>
      <c r="P1012" s="163"/>
      <c r="Q1012" s="1"/>
      <c r="R1012" s="1"/>
    </row>
    <row r="1013" ht="14.25" customHeight="1">
      <c r="A1013" s="1"/>
      <c r="B1013" s="163"/>
      <c r="C1013" s="163"/>
      <c r="D1013" s="163"/>
      <c r="E1013" s="163"/>
      <c r="F1013" s="163"/>
      <c r="G1013" s="163"/>
      <c r="H1013" s="163"/>
      <c r="I1013" s="163"/>
      <c r="J1013" s="163"/>
      <c r="K1013" s="163"/>
      <c r="L1013" s="163"/>
      <c r="M1013" s="163"/>
      <c r="N1013" s="163"/>
      <c r="O1013" s="163"/>
      <c r="P1013" s="163"/>
      <c r="Q1013" s="1"/>
      <c r="R1013" s="1"/>
    </row>
    <row r="1014" ht="14.25" customHeight="1">
      <c r="A1014" s="1"/>
      <c r="B1014" s="163"/>
      <c r="C1014" s="163"/>
      <c r="D1014" s="163"/>
      <c r="E1014" s="163"/>
      <c r="F1014" s="163"/>
      <c r="G1014" s="163"/>
      <c r="H1014" s="163"/>
      <c r="I1014" s="163"/>
      <c r="J1014" s="163"/>
      <c r="K1014" s="163"/>
      <c r="L1014" s="163"/>
      <c r="M1014" s="163"/>
      <c r="N1014" s="163"/>
      <c r="O1014" s="163"/>
      <c r="P1014" s="163"/>
      <c r="Q1014" s="1"/>
      <c r="R1014" s="1"/>
    </row>
    <row r="1015" ht="14.25" customHeight="1">
      <c r="A1015" s="1"/>
      <c r="B1015" s="163"/>
      <c r="C1015" s="163"/>
      <c r="D1015" s="163"/>
      <c r="E1015" s="163"/>
      <c r="F1015" s="163"/>
      <c r="G1015" s="163"/>
      <c r="H1015" s="163"/>
      <c r="I1015" s="163"/>
      <c r="J1015" s="163"/>
      <c r="K1015" s="163"/>
      <c r="L1015" s="163"/>
      <c r="M1015" s="163"/>
      <c r="N1015" s="163"/>
      <c r="O1015" s="163"/>
      <c r="P1015" s="163"/>
      <c r="Q1015" s="1"/>
      <c r="R1015" s="1"/>
    </row>
    <row r="1016" ht="14.25" customHeight="1">
      <c r="A1016" s="1"/>
      <c r="B1016" s="163"/>
      <c r="C1016" s="163"/>
      <c r="D1016" s="163"/>
      <c r="E1016" s="163"/>
      <c r="F1016" s="163"/>
      <c r="G1016" s="163"/>
      <c r="H1016" s="163"/>
      <c r="I1016" s="163"/>
      <c r="J1016" s="163"/>
      <c r="K1016" s="163"/>
      <c r="L1016" s="163"/>
      <c r="M1016" s="163"/>
      <c r="N1016" s="163"/>
      <c r="O1016" s="163"/>
      <c r="P1016" s="163"/>
      <c r="Q1016" s="1"/>
      <c r="R1016" s="1"/>
    </row>
    <row r="1017" ht="14.25" customHeight="1">
      <c r="A1017" s="1"/>
      <c r="B1017" s="163"/>
      <c r="C1017" s="163"/>
      <c r="D1017" s="163"/>
      <c r="E1017" s="163"/>
      <c r="F1017" s="163"/>
      <c r="G1017" s="163"/>
      <c r="H1017" s="163"/>
      <c r="I1017" s="163"/>
      <c r="J1017" s="163"/>
      <c r="K1017" s="163"/>
      <c r="L1017" s="163"/>
      <c r="M1017" s="163"/>
      <c r="N1017" s="163"/>
      <c r="O1017" s="163"/>
      <c r="P1017" s="163"/>
      <c r="Q1017" s="1"/>
      <c r="R1017" s="1"/>
    </row>
    <row r="1018" ht="14.25" customHeight="1">
      <c r="A1018" s="1"/>
      <c r="B1018" s="163"/>
      <c r="C1018" s="163"/>
      <c r="D1018" s="163"/>
      <c r="E1018" s="163"/>
      <c r="F1018" s="163"/>
      <c r="G1018" s="163"/>
      <c r="H1018" s="163"/>
      <c r="I1018" s="163"/>
      <c r="J1018" s="163"/>
      <c r="K1018" s="163"/>
      <c r="L1018" s="163"/>
      <c r="M1018" s="163"/>
      <c r="N1018" s="163"/>
      <c r="O1018" s="163"/>
      <c r="P1018" s="163"/>
      <c r="Q1018" s="1"/>
      <c r="R1018" s="1"/>
    </row>
    <row r="1019" ht="14.25" customHeight="1">
      <c r="A1019" s="1"/>
      <c r="B1019" s="163"/>
      <c r="C1019" s="163"/>
      <c r="D1019" s="163"/>
      <c r="E1019" s="163"/>
      <c r="F1019" s="163"/>
      <c r="G1019" s="163"/>
      <c r="H1019" s="163"/>
      <c r="I1019" s="163"/>
      <c r="J1019" s="163"/>
      <c r="K1019" s="163"/>
      <c r="L1019" s="163"/>
      <c r="M1019" s="163"/>
      <c r="N1019" s="163"/>
      <c r="O1019" s="163"/>
      <c r="P1019" s="163"/>
      <c r="Q1019" s="1"/>
      <c r="R1019" s="1"/>
    </row>
    <row r="1020" ht="14.25" customHeight="1">
      <c r="A1020" s="1"/>
      <c r="B1020" s="163"/>
      <c r="C1020" s="163"/>
      <c r="D1020" s="163"/>
      <c r="E1020" s="163"/>
      <c r="F1020" s="163"/>
      <c r="G1020" s="163"/>
      <c r="H1020" s="163"/>
      <c r="I1020" s="163"/>
      <c r="J1020" s="163"/>
      <c r="K1020" s="163"/>
      <c r="L1020" s="163"/>
      <c r="M1020" s="163"/>
      <c r="N1020" s="163"/>
      <c r="O1020" s="163"/>
      <c r="P1020" s="163"/>
      <c r="Q1020" s="1"/>
      <c r="R1020" s="1"/>
    </row>
    <row r="1021" ht="14.25" customHeight="1">
      <c r="A1021" s="1"/>
      <c r="B1021" s="163"/>
      <c r="C1021" s="163"/>
      <c r="D1021" s="163"/>
      <c r="E1021" s="163"/>
      <c r="F1021" s="163"/>
      <c r="G1021" s="163"/>
      <c r="H1021" s="163"/>
      <c r="I1021" s="163"/>
      <c r="J1021" s="163"/>
      <c r="K1021" s="163"/>
      <c r="L1021" s="163"/>
      <c r="M1021" s="163"/>
      <c r="N1021" s="163"/>
      <c r="O1021" s="163"/>
      <c r="P1021" s="163"/>
      <c r="Q1021" s="1"/>
      <c r="R1021" s="1"/>
    </row>
    <row r="1022" ht="14.25" customHeight="1">
      <c r="A1022" s="1"/>
      <c r="B1022" s="163"/>
      <c r="C1022" s="163"/>
      <c r="D1022" s="163"/>
      <c r="E1022" s="163"/>
      <c r="F1022" s="163"/>
      <c r="G1022" s="163"/>
      <c r="H1022" s="163"/>
      <c r="I1022" s="163"/>
      <c r="J1022" s="163"/>
      <c r="K1022" s="163"/>
      <c r="L1022" s="163"/>
      <c r="M1022" s="163"/>
      <c r="N1022" s="163"/>
      <c r="O1022" s="163"/>
      <c r="P1022" s="163"/>
      <c r="Q1022" s="1"/>
      <c r="R1022" s="1"/>
    </row>
    <row r="1023" ht="14.25" customHeight="1">
      <c r="A1023" s="1"/>
      <c r="B1023" s="163"/>
      <c r="C1023" s="163"/>
      <c r="D1023" s="163"/>
      <c r="E1023" s="163"/>
      <c r="F1023" s="163"/>
      <c r="G1023" s="163"/>
      <c r="H1023" s="163"/>
      <c r="I1023" s="163"/>
      <c r="J1023" s="163"/>
      <c r="K1023" s="163"/>
      <c r="L1023" s="163"/>
      <c r="M1023" s="163"/>
      <c r="N1023" s="163"/>
      <c r="O1023" s="163"/>
      <c r="P1023" s="163"/>
      <c r="Q1023" s="1"/>
      <c r="R1023" s="1"/>
    </row>
    <row r="1024" ht="14.25" customHeight="1">
      <c r="A1024" s="1"/>
      <c r="B1024" s="163"/>
      <c r="C1024" s="163"/>
      <c r="D1024" s="163"/>
      <c r="E1024" s="163"/>
      <c r="F1024" s="163"/>
      <c r="G1024" s="163"/>
      <c r="H1024" s="163"/>
      <c r="I1024" s="163"/>
      <c r="J1024" s="163"/>
      <c r="K1024" s="163"/>
      <c r="L1024" s="163"/>
      <c r="M1024" s="163"/>
      <c r="N1024" s="163"/>
      <c r="O1024" s="163"/>
      <c r="P1024" s="163"/>
      <c r="Q1024" s="1"/>
      <c r="R1024" s="1"/>
    </row>
    <row r="1025" ht="14.25" customHeight="1">
      <c r="A1025" s="1"/>
      <c r="B1025" s="163"/>
      <c r="C1025" s="163"/>
      <c r="D1025" s="163"/>
      <c r="E1025" s="163"/>
      <c r="F1025" s="163"/>
      <c r="G1025" s="163"/>
      <c r="H1025" s="163"/>
      <c r="I1025" s="163"/>
      <c r="J1025" s="163"/>
      <c r="K1025" s="163"/>
      <c r="L1025" s="163"/>
      <c r="M1025" s="163"/>
      <c r="N1025" s="163"/>
      <c r="O1025" s="163"/>
      <c r="P1025" s="163"/>
      <c r="Q1025" s="1"/>
      <c r="R1025" s="1"/>
    </row>
    <row r="1026" ht="14.25" customHeight="1">
      <c r="A1026" s="1"/>
      <c r="B1026" s="163"/>
      <c r="C1026" s="163"/>
      <c r="D1026" s="163"/>
      <c r="E1026" s="163"/>
      <c r="F1026" s="163"/>
      <c r="G1026" s="163"/>
      <c r="H1026" s="163"/>
      <c r="I1026" s="163"/>
      <c r="J1026" s="163"/>
      <c r="K1026" s="163"/>
      <c r="L1026" s="163"/>
      <c r="M1026" s="163"/>
      <c r="N1026" s="163"/>
      <c r="O1026" s="163"/>
      <c r="P1026" s="163"/>
      <c r="Q1026" s="1"/>
      <c r="R1026" s="1"/>
    </row>
    <row r="1027" ht="14.25" customHeight="1">
      <c r="A1027" s="1"/>
      <c r="B1027" s="163"/>
      <c r="C1027" s="163"/>
      <c r="D1027" s="163"/>
      <c r="E1027" s="163"/>
      <c r="F1027" s="163"/>
      <c r="G1027" s="163"/>
      <c r="H1027" s="163"/>
      <c r="I1027" s="163"/>
      <c r="J1027" s="163"/>
      <c r="K1027" s="163"/>
      <c r="L1027" s="163"/>
      <c r="M1027" s="163"/>
      <c r="N1027" s="163"/>
      <c r="O1027" s="163"/>
      <c r="P1027" s="163"/>
      <c r="Q1027" s="1"/>
      <c r="R1027" s="1"/>
    </row>
    <row r="1028" ht="14.25" customHeight="1">
      <c r="A1028" s="1"/>
      <c r="B1028" s="163"/>
      <c r="C1028" s="163"/>
      <c r="D1028" s="163"/>
      <c r="E1028" s="163"/>
      <c r="F1028" s="163"/>
      <c r="G1028" s="163"/>
      <c r="H1028" s="163"/>
      <c r="I1028" s="163"/>
      <c r="J1028" s="163"/>
      <c r="K1028" s="163"/>
      <c r="L1028" s="163"/>
      <c r="M1028" s="163"/>
      <c r="N1028" s="163"/>
      <c r="O1028" s="163"/>
      <c r="P1028" s="163"/>
      <c r="Q1028" s="1"/>
      <c r="R1028" s="1"/>
    </row>
    <row r="1029" ht="14.25" customHeight="1">
      <c r="A1029" s="1"/>
      <c r="B1029" s="163"/>
      <c r="C1029" s="163"/>
      <c r="D1029" s="163"/>
      <c r="E1029" s="163"/>
      <c r="F1029" s="163"/>
      <c r="G1029" s="163"/>
      <c r="H1029" s="163"/>
      <c r="I1029" s="163"/>
      <c r="J1029" s="163"/>
      <c r="K1029" s="163"/>
      <c r="L1029" s="163"/>
      <c r="M1029" s="163"/>
      <c r="N1029" s="163"/>
      <c r="O1029" s="163"/>
      <c r="P1029" s="163"/>
      <c r="Q1029" s="1"/>
      <c r="R1029" s="1"/>
    </row>
    <row r="1030" ht="14.25" customHeight="1">
      <c r="A1030" s="1"/>
      <c r="B1030" s="163"/>
      <c r="C1030" s="163"/>
      <c r="D1030" s="163"/>
      <c r="E1030" s="163"/>
      <c r="F1030" s="163"/>
      <c r="G1030" s="163"/>
      <c r="H1030" s="163"/>
      <c r="I1030" s="163"/>
      <c r="J1030" s="163"/>
      <c r="K1030" s="163"/>
      <c r="L1030" s="163"/>
      <c r="M1030" s="163"/>
      <c r="N1030" s="163"/>
      <c r="O1030" s="163"/>
      <c r="P1030" s="163"/>
      <c r="Q1030" s="1"/>
      <c r="R1030" s="1"/>
    </row>
    <row r="1031" ht="14.25" customHeight="1">
      <c r="A1031" s="1"/>
      <c r="B1031" s="163"/>
      <c r="C1031" s="163"/>
      <c r="D1031" s="163"/>
      <c r="E1031" s="163"/>
      <c r="F1031" s="163"/>
      <c r="G1031" s="163"/>
      <c r="H1031" s="163"/>
      <c r="I1031" s="163"/>
      <c r="J1031" s="163"/>
      <c r="K1031" s="163"/>
      <c r="L1031" s="163"/>
      <c r="M1031" s="163"/>
      <c r="N1031" s="163"/>
      <c r="O1031" s="163"/>
      <c r="P1031" s="163"/>
      <c r="Q1031" s="1"/>
      <c r="R1031" s="1"/>
    </row>
    <row r="1032" ht="14.25" customHeight="1">
      <c r="A1032" s="1"/>
      <c r="B1032" s="163"/>
      <c r="C1032" s="163"/>
      <c r="D1032" s="163"/>
      <c r="E1032" s="163"/>
      <c r="F1032" s="163"/>
      <c r="G1032" s="163"/>
      <c r="H1032" s="163"/>
      <c r="I1032" s="163"/>
      <c r="J1032" s="163"/>
      <c r="K1032" s="163"/>
      <c r="L1032" s="163"/>
      <c r="M1032" s="163"/>
      <c r="N1032" s="163"/>
      <c r="O1032" s="163"/>
      <c r="P1032" s="163"/>
      <c r="Q1032" s="1"/>
      <c r="R1032" s="1"/>
    </row>
    <row r="1033" ht="14.25" customHeight="1">
      <c r="A1033" s="1"/>
      <c r="B1033" s="163"/>
      <c r="C1033" s="163"/>
      <c r="D1033" s="163"/>
      <c r="E1033" s="163"/>
      <c r="F1033" s="163"/>
      <c r="G1033" s="163"/>
      <c r="H1033" s="163"/>
      <c r="I1033" s="163"/>
      <c r="J1033" s="163"/>
      <c r="K1033" s="163"/>
      <c r="L1033" s="163"/>
      <c r="M1033" s="163"/>
      <c r="N1033" s="163"/>
      <c r="O1033" s="163"/>
      <c r="P1033" s="163"/>
      <c r="Q1033" s="1"/>
      <c r="R1033" s="1"/>
    </row>
    <row r="1034" ht="14.25" customHeight="1">
      <c r="A1034" s="1"/>
      <c r="B1034" s="163"/>
      <c r="C1034" s="163"/>
      <c r="D1034" s="163"/>
      <c r="E1034" s="163"/>
      <c r="F1034" s="163"/>
      <c r="G1034" s="163"/>
      <c r="H1034" s="163"/>
      <c r="I1034" s="163"/>
      <c r="J1034" s="163"/>
      <c r="K1034" s="163"/>
      <c r="L1034" s="163"/>
      <c r="M1034" s="163"/>
      <c r="N1034" s="163"/>
      <c r="O1034" s="163"/>
      <c r="P1034" s="163"/>
      <c r="Q1034" s="1"/>
      <c r="R1034" s="1"/>
    </row>
    <row r="1035" ht="14.25" customHeight="1">
      <c r="A1035" s="1"/>
      <c r="B1035" s="163"/>
      <c r="C1035" s="163"/>
      <c r="D1035" s="163"/>
      <c r="E1035" s="163"/>
      <c r="F1035" s="163"/>
      <c r="G1035" s="163"/>
      <c r="H1035" s="163"/>
      <c r="I1035" s="163"/>
      <c r="J1035" s="163"/>
      <c r="K1035" s="163"/>
      <c r="L1035" s="163"/>
      <c r="M1035" s="163"/>
      <c r="N1035" s="163"/>
      <c r="O1035" s="163"/>
      <c r="P1035" s="163"/>
      <c r="Q1035" s="1"/>
      <c r="R1035" s="1"/>
    </row>
    <row r="1036" ht="14.25" customHeight="1">
      <c r="A1036" s="1"/>
      <c r="B1036" s="163"/>
      <c r="C1036" s="163"/>
      <c r="D1036" s="163"/>
      <c r="E1036" s="163"/>
      <c r="F1036" s="163"/>
      <c r="G1036" s="163"/>
      <c r="H1036" s="163"/>
      <c r="I1036" s="163"/>
      <c r="J1036" s="163"/>
      <c r="K1036" s="163"/>
      <c r="L1036" s="163"/>
      <c r="M1036" s="163"/>
      <c r="N1036" s="163"/>
      <c r="O1036" s="163"/>
      <c r="P1036" s="163"/>
      <c r="Q1036" s="1"/>
      <c r="R1036" s="1"/>
    </row>
    <row r="1037" ht="14.25" customHeight="1">
      <c r="A1037" s="1"/>
      <c r="B1037" s="163"/>
      <c r="C1037" s="163"/>
      <c r="D1037" s="163"/>
      <c r="E1037" s="163"/>
      <c r="F1037" s="163"/>
      <c r="G1037" s="163"/>
      <c r="H1037" s="163"/>
      <c r="I1037" s="163"/>
      <c r="J1037" s="163"/>
      <c r="K1037" s="163"/>
      <c r="L1037" s="163"/>
      <c r="M1037" s="163"/>
      <c r="N1037" s="163"/>
      <c r="O1037" s="163"/>
      <c r="P1037" s="163"/>
      <c r="Q1037" s="1"/>
      <c r="R1037" s="1"/>
    </row>
    <row r="1038" ht="14.25" customHeight="1">
      <c r="A1038" s="1"/>
      <c r="B1038" s="163"/>
      <c r="C1038" s="163"/>
      <c r="D1038" s="163"/>
      <c r="E1038" s="163"/>
      <c r="F1038" s="163"/>
      <c r="G1038" s="163"/>
      <c r="H1038" s="163"/>
      <c r="I1038" s="163"/>
      <c r="J1038" s="163"/>
      <c r="K1038" s="163"/>
      <c r="L1038" s="163"/>
      <c r="M1038" s="163"/>
      <c r="N1038" s="163"/>
      <c r="O1038" s="163"/>
      <c r="P1038" s="163"/>
      <c r="Q1038" s="1"/>
      <c r="R1038" s="1"/>
    </row>
    <row r="1039" ht="14.25" customHeight="1">
      <c r="A1039" s="1"/>
      <c r="B1039" s="163"/>
      <c r="C1039" s="163"/>
      <c r="D1039" s="163"/>
      <c r="E1039" s="163"/>
      <c r="F1039" s="163"/>
      <c r="G1039" s="163"/>
      <c r="H1039" s="163"/>
      <c r="I1039" s="163"/>
      <c r="J1039" s="163"/>
      <c r="K1039" s="163"/>
      <c r="L1039" s="163"/>
      <c r="M1039" s="163"/>
      <c r="N1039" s="163"/>
      <c r="O1039" s="163"/>
      <c r="P1039" s="163"/>
      <c r="Q1039" s="1"/>
      <c r="R1039" s="1"/>
    </row>
    <row r="1040" ht="14.25" customHeight="1">
      <c r="A1040" s="1"/>
      <c r="B1040" s="163"/>
      <c r="C1040" s="163"/>
      <c r="D1040" s="163"/>
      <c r="E1040" s="163"/>
      <c r="F1040" s="163"/>
      <c r="G1040" s="163"/>
      <c r="H1040" s="163"/>
      <c r="I1040" s="163"/>
      <c r="J1040" s="163"/>
      <c r="K1040" s="163"/>
      <c r="L1040" s="163"/>
      <c r="M1040" s="163"/>
      <c r="N1040" s="163"/>
      <c r="O1040" s="163"/>
      <c r="P1040" s="163"/>
      <c r="Q1040" s="1"/>
      <c r="R1040" s="1"/>
    </row>
    <row r="1041" ht="14.25" customHeight="1">
      <c r="A1041" s="1"/>
      <c r="B1041" s="163"/>
      <c r="C1041" s="163"/>
      <c r="D1041" s="163"/>
      <c r="E1041" s="163"/>
      <c r="F1041" s="163"/>
      <c r="G1041" s="163"/>
      <c r="H1041" s="163"/>
      <c r="I1041" s="163"/>
      <c r="J1041" s="163"/>
      <c r="K1041" s="163"/>
      <c r="L1041" s="163"/>
      <c r="M1041" s="163"/>
      <c r="N1041" s="163"/>
      <c r="O1041" s="163"/>
      <c r="P1041" s="163"/>
      <c r="Q1041" s="1"/>
      <c r="R1041" s="1"/>
    </row>
    <row r="1042" ht="14.25" customHeight="1">
      <c r="A1042" s="1"/>
      <c r="B1042" s="163"/>
      <c r="C1042" s="163"/>
      <c r="D1042" s="163"/>
      <c r="E1042" s="163"/>
      <c r="F1042" s="163"/>
      <c r="G1042" s="163"/>
      <c r="H1042" s="163"/>
      <c r="I1042" s="163"/>
      <c r="J1042" s="163"/>
      <c r="K1042" s="163"/>
      <c r="L1042" s="163"/>
      <c r="M1042" s="163"/>
      <c r="N1042" s="163"/>
      <c r="O1042" s="163"/>
      <c r="P1042" s="163"/>
      <c r="Q1042" s="1"/>
      <c r="R1042" s="1"/>
    </row>
    <row r="1043" ht="14.25" customHeight="1">
      <c r="A1043" s="1"/>
      <c r="B1043" s="163"/>
      <c r="C1043" s="163"/>
      <c r="D1043" s="163"/>
      <c r="E1043" s="163"/>
      <c r="F1043" s="163"/>
      <c r="G1043" s="163"/>
      <c r="H1043" s="163"/>
      <c r="I1043" s="163"/>
      <c r="J1043" s="163"/>
      <c r="K1043" s="163"/>
      <c r="L1043" s="163"/>
      <c r="M1043" s="163"/>
      <c r="N1043" s="163"/>
      <c r="O1043" s="163"/>
      <c r="P1043" s="163"/>
      <c r="Q1043" s="1"/>
      <c r="R1043" s="1"/>
    </row>
    <row r="1044" ht="14.25" customHeight="1">
      <c r="A1044" s="1"/>
      <c r="B1044" s="163"/>
      <c r="C1044" s="163"/>
      <c r="D1044" s="163"/>
      <c r="E1044" s="163"/>
      <c r="F1044" s="163"/>
      <c r="G1044" s="163"/>
      <c r="H1044" s="163"/>
      <c r="I1044" s="163"/>
      <c r="J1044" s="163"/>
      <c r="K1044" s="163"/>
      <c r="L1044" s="163"/>
      <c r="M1044" s="163"/>
      <c r="N1044" s="163"/>
      <c r="O1044" s="163"/>
      <c r="P1044" s="163"/>
      <c r="Q1044" s="1"/>
      <c r="R1044" s="1"/>
    </row>
    <row r="1045" ht="14.25" customHeight="1">
      <c r="A1045" s="1"/>
      <c r="B1045" s="163"/>
      <c r="C1045" s="163"/>
      <c r="D1045" s="163"/>
      <c r="E1045" s="163"/>
      <c r="F1045" s="163"/>
      <c r="G1045" s="163"/>
      <c r="H1045" s="163"/>
      <c r="I1045" s="163"/>
      <c r="J1045" s="163"/>
      <c r="K1045" s="163"/>
      <c r="L1045" s="163"/>
      <c r="M1045" s="163"/>
      <c r="N1045" s="163"/>
      <c r="O1045" s="163"/>
      <c r="P1045" s="163"/>
      <c r="Q1045" s="1"/>
      <c r="R1045" s="1"/>
    </row>
    <row r="1046" ht="14.25" customHeight="1">
      <c r="A1046" s="1"/>
      <c r="B1046" s="163"/>
      <c r="C1046" s="163"/>
      <c r="D1046" s="163"/>
      <c r="E1046" s="163"/>
      <c r="F1046" s="163"/>
      <c r="G1046" s="163"/>
      <c r="H1046" s="163"/>
      <c r="I1046" s="163"/>
      <c r="J1046" s="163"/>
      <c r="K1046" s="163"/>
      <c r="L1046" s="163"/>
      <c r="M1046" s="163"/>
      <c r="N1046" s="163"/>
      <c r="O1046" s="163"/>
      <c r="P1046" s="163"/>
      <c r="Q1046" s="1"/>
      <c r="R1046" s="1"/>
    </row>
    <row r="1047" ht="14.25" customHeight="1">
      <c r="A1047" s="1"/>
      <c r="B1047" s="163"/>
      <c r="C1047" s="163"/>
      <c r="D1047" s="163"/>
      <c r="E1047" s="163"/>
      <c r="F1047" s="163"/>
      <c r="G1047" s="163"/>
      <c r="H1047" s="163"/>
      <c r="I1047" s="163"/>
      <c r="J1047" s="163"/>
      <c r="K1047" s="163"/>
      <c r="L1047" s="163"/>
      <c r="M1047" s="163"/>
      <c r="N1047" s="163"/>
      <c r="O1047" s="163"/>
      <c r="P1047" s="163"/>
      <c r="Q1047" s="1"/>
      <c r="R1047" s="1"/>
    </row>
    <row r="1048" ht="14.25" customHeight="1">
      <c r="A1048" s="1"/>
      <c r="B1048" s="163"/>
      <c r="C1048" s="163"/>
      <c r="D1048" s="163"/>
      <c r="E1048" s="163"/>
      <c r="F1048" s="163"/>
      <c r="G1048" s="163"/>
      <c r="H1048" s="163"/>
      <c r="I1048" s="163"/>
      <c r="J1048" s="163"/>
      <c r="K1048" s="163"/>
      <c r="L1048" s="163"/>
      <c r="M1048" s="163"/>
      <c r="N1048" s="163"/>
      <c r="O1048" s="163"/>
      <c r="P1048" s="163"/>
      <c r="Q1048" s="1"/>
      <c r="R1048" s="1"/>
    </row>
    <row r="1049" ht="14.25" customHeight="1">
      <c r="A1049" s="1"/>
      <c r="B1049" s="163"/>
      <c r="C1049" s="163"/>
      <c r="D1049" s="163"/>
      <c r="E1049" s="163"/>
      <c r="F1049" s="163"/>
      <c r="G1049" s="163"/>
      <c r="H1049" s="163"/>
      <c r="I1049" s="163"/>
      <c r="J1049" s="163"/>
      <c r="K1049" s="163"/>
      <c r="L1049" s="163"/>
      <c r="M1049" s="163"/>
      <c r="N1049" s="163"/>
      <c r="O1049" s="163"/>
      <c r="P1049" s="163"/>
      <c r="Q1049" s="1"/>
      <c r="R1049" s="1"/>
    </row>
    <row r="1050" ht="14.25" customHeight="1">
      <c r="A1050" s="1"/>
      <c r="B1050" s="163"/>
      <c r="C1050" s="163"/>
      <c r="D1050" s="163"/>
      <c r="E1050" s="163"/>
      <c r="F1050" s="163"/>
      <c r="G1050" s="163"/>
      <c r="H1050" s="163"/>
      <c r="I1050" s="163"/>
      <c r="J1050" s="163"/>
      <c r="K1050" s="163"/>
      <c r="L1050" s="163"/>
      <c r="M1050" s="163"/>
      <c r="N1050" s="163"/>
      <c r="O1050" s="163"/>
      <c r="P1050" s="163"/>
      <c r="Q1050" s="1"/>
      <c r="R1050" s="1"/>
    </row>
    <row r="1051" ht="14.25" customHeight="1">
      <c r="A1051" s="1"/>
      <c r="B1051" s="163"/>
      <c r="C1051" s="163"/>
      <c r="D1051" s="163"/>
      <c r="E1051" s="163"/>
      <c r="F1051" s="163"/>
      <c r="G1051" s="163"/>
      <c r="H1051" s="163"/>
      <c r="I1051" s="163"/>
      <c r="J1051" s="163"/>
      <c r="K1051" s="163"/>
      <c r="L1051" s="163"/>
      <c r="M1051" s="163"/>
      <c r="N1051" s="163"/>
      <c r="O1051" s="163"/>
      <c r="P1051" s="163"/>
      <c r="Q1051" s="1"/>
      <c r="R1051" s="1"/>
    </row>
    <row r="1052" ht="14.25" customHeight="1">
      <c r="A1052" s="1"/>
      <c r="B1052" s="163"/>
      <c r="C1052" s="163"/>
      <c r="D1052" s="163"/>
      <c r="E1052" s="163"/>
      <c r="F1052" s="163"/>
      <c r="G1052" s="163"/>
      <c r="H1052" s="163"/>
      <c r="I1052" s="163"/>
      <c r="J1052" s="163"/>
      <c r="K1052" s="163"/>
      <c r="L1052" s="163"/>
      <c r="M1052" s="163"/>
      <c r="N1052" s="163"/>
      <c r="O1052" s="163"/>
      <c r="P1052" s="163"/>
      <c r="Q1052" s="1"/>
      <c r="R1052" s="1"/>
    </row>
    <row r="1053" ht="14.25" customHeight="1">
      <c r="A1053" s="1"/>
      <c r="B1053" s="163"/>
      <c r="C1053" s="163"/>
      <c r="D1053" s="163"/>
      <c r="E1053" s="163"/>
      <c r="F1053" s="163"/>
      <c r="G1053" s="163"/>
      <c r="H1053" s="163"/>
      <c r="I1053" s="163"/>
      <c r="J1053" s="163"/>
      <c r="K1053" s="163"/>
      <c r="L1053" s="163"/>
      <c r="M1053" s="163"/>
      <c r="N1053" s="163"/>
      <c r="O1053" s="163"/>
      <c r="P1053" s="163"/>
      <c r="Q1053" s="1"/>
      <c r="R1053" s="1"/>
    </row>
    <row r="1054" ht="14.25" customHeight="1">
      <c r="A1054" s="1"/>
      <c r="B1054" s="163"/>
      <c r="C1054" s="163"/>
      <c r="D1054" s="163"/>
      <c r="E1054" s="163"/>
      <c r="F1054" s="163"/>
      <c r="G1054" s="163"/>
      <c r="H1054" s="163"/>
      <c r="I1054" s="163"/>
      <c r="J1054" s="163"/>
      <c r="K1054" s="163"/>
      <c r="L1054" s="163"/>
      <c r="M1054" s="163"/>
      <c r="N1054" s="163"/>
      <c r="O1054" s="163"/>
      <c r="P1054" s="163"/>
      <c r="Q1054" s="1"/>
      <c r="R1054" s="1"/>
    </row>
    <row r="1055" ht="14.25" customHeight="1">
      <c r="A1055" s="1"/>
      <c r="B1055" s="163"/>
      <c r="C1055" s="163"/>
      <c r="D1055" s="163"/>
      <c r="E1055" s="163"/>
      <c r="F1055" s="163"/>
      <c r="G1055" s="163"/>
      <c r="H1055" s="163"/>
      <c r="I1055" s="163"/>
      <c r="J1055" s="163"/>
      <c r="K1055" s="163"/>
      <c r="L1055" s="163"/>
      <c r="M1055" s="163"/>
      <c r="N1055" s="163"/>
      <c r="O1055" s="163"/>
      <c r="P1055" s="163"/>
      <c r="Q1055" s="1"/>
      <c r="R1055" s="1"/>
    </row>
    <row r="1056" ht="14.25" customHeight="1">
      <c r="A1056" s="1"/>
      <c r="B1056" s="163"/>
      <c r="C1056" s="163"/>
      <c r="D1056" s="163"/>
      <c r="E1056" s="163"/>
      <c r="F1056" s="163"/>
      <c r="G1056" s="163"/>
      <c r="H1056" s="163"/>
      <c r="I1056" s="163"/>
      <c r="J1056" s="163"/>
      <c r="K1056" s="163"/>
      <c r="L1056" s="163"/>
      <c r="M1056" s="163"/>
      <c r="N1056" s="163"/>
      <c r="O1056" s="163"/>
      <c r="P1056" s="163"/>
      <c r="Q1056" s="1"/>
      <c r="R1056" s="1"/>
    </row>
    <row r="1057" ht="14.25" customHeight="1">
      <c r="A1057" s="1"/>
      <c r="B1057" s="163"/>
      <c r="C1057" s="163"/>
      <c r="D1057" s="163"/>
      <c r="E1057" s="163"/>
      <c r="F1057" s="163"/>
      <c r="G1057" s="163"/>
      <c r="H1057" s="163"/>
      <c r="I1057" s="163"/>
      <c r="J1057" s="163"/>
      <c r="K1057" s="163"/>
      <c r="L1057" s="163"/>
      <c r="M1057" s="163"/>
      <c r="N1057" s="163"/>
      <c r="O1057" s="163"/>
      <c r="P1057" s="163"/>
      <c r="Q1057" s="1"/>
      <c r="R1057" s="1"/>
    </row>
    <row r="1058" ht="14.25" customHeight="1">
      <c r="A1058" s="1"/>
      <c r="B1058" s="163"/>
      <c r="C1058" s="163"/>
      <c r="D1058" s="163"/>
      <c r="E1058" s="163"/>
      <c r="F1058" s="163"/>
      <c r="G1058" s="163"/>
      <c r="H1058" s="163"/>
      <c r="I1058" s="163"/>
      <c r="J1058" s="163"/>
      <c r="K1058" s="163"/>
      <c r="L1058" s="163"/>
      <c r="M1058" s="163"/>
      <c r="N1058" s="163"/>
      <c r="O1058" s="163"/>
      <c r="P1058" s="163"/>
      <c r="Q1058" s="1"/>
      <c r="R1058" s="1"/>
    </row>
    <row r="1059" ht="14.25" customHeight="1">
      <c r="A1059" s="1"/>
      <c r="B1059" s="163"/>
      <c r="C1059" s="163"/>
      <c r="D1059" s="163"/>
      <c r="E1059" s="163"/>
      <c r="F1059" s="163"/>
      <c r="G1059" s="163"/>
      <c r="H1059" s="163"/>
      <c r="I1059" s="163"/>
      <c r="J1059" s="163"/>
      <c r="K1059" s="163"/>
      <c r="L1059" s="163"/>
      <c r="M1059" s="163"/>
      <c r="N1059" s="163"/>
      <c r="O1059" s="163"/>
      <c r="P1059" s="163"/>
      <c r="Q1059" s="1"/>
      <c r="R1059" s="1"/>
    </row>
    <row r="1060" ht="14.25" customHeight="1">
      <c r="A1060" s="1"/>
      <c r="B1060" s="163"/>
      <c r="C1060" s="163"/>
      <c r="D1060" s="163"/>
      <c r="E1060" s="163"/>
      <c r="F1060" s="163"/>
      <c r="G1060" s="163"/>
      <c r="H1060" s="163"/>
      <c r="I1060" s="163"/>
      <c r="J1060" s="163"/>
      <c r="K1060" s="163"/>
      <c r="L1060" s="163"/>
      <c r="M1060" s="163"/>
      <c r="N1060" s="163"/>
      <c r="O1060" s="163"/>
      <c r="P1060" s="163"/>
      <c r="Q1060" s="1"/>
      <c r="R1060" s="1"/>
    </row>
    <row r="1061" ht="14.25" customHeight="1">
      <c r="A1061" s="1"/>
      <c r="B1061" s="163"/>
      <c r="C1061" s="163"/>
      <c r="D1061" s="163"/>
      <c r="E1061" s="163"/>
      <c r="F1061" s="163"/>
      <c r="G1061" s="163"/>
      <c r="H1061" s="163"/>
      <c r="I1061" s="163"/>
      <c r="J1061" s="163"/>
      <c r="K1061" s="163"/>
      <c r="L1061" s="163"/>
      <c r="M1061" s="163"/>
      <c r="N1061" s="163"/>
      <c r="O1061" s="163"/>
      <c r="P1061" s="163"/>
      <c r="Q1061" s="1"/>
      <c r="R1061" s="1"/>
    </row>
    <row r="1062" ht="14.25" customHeight="1">
      <c r="A1062" s="1"/>
      <c r="B1062" s="163"/>
      <c r="C1062" s="163"/>
      <c r="D1062" s="163"/>
      <c r="E1062" s="163"/>
      <c r="F1062" s="163"/>
      <c r="G1062" s="163"/>
      <c r="H1062" s="163"/>
      <c r="I1062" s="163"/>
      <c r="J1062" s="163"/>
      <c r="K1062" s="163"/>
      <c r="L1062" s="163"/>
      <c r="M1062" s="163"/>
      <c r="N1062" s="163"/>
      <c r="O1062" s="163"/>
      <c r="P1062" s="163"/>
      <c r="Q1062" s="1"/>
      <c r="R1062" s="1"/>
    </row>
    <row r="1063" ht="14.25" customHeight="1">
      <c r="A1063" s="1"/>
      <c r="B1063" s="163"/>
      <c r="C1063" s="163"/>
      <c r="D1063" s="163"/>
      <c r="E1063" s="163"/>
      <c r="F1063" s="163"/>
      <c r="G1063" s="163"/>
      <c r="H1063" s="163"/>
      <c r="I1063" s="163"/>
      <c r="J1063" s="163"/>
      <c r="K1063" s="163"/>
      <c r="L1063" s="163"/>
      <c r="M1063" s="163"/>
      <c r="N1063" s="163"/>
      <c r="O1063" s="163"/>
      <c r="P1063" s="163"/>
      <c r="Q1063" s="1"/>
      <c r="R1063" s="1"/>
    </row>
    <row r="1064" ht="14.25" customHeight="1">
      <c r="A1064" s="1"/>
      <c r="B1064" s="163"/>
      <c r="C1064" s="163"/>
      <c r="D1064" s="163"/>
      <c r="E1064" s="163"/>
      <c r="F1064" s="163"/>
      <c r="G1064" s="163"/>
      <c r="H1064" s="163"/>
      <c r="I1064" s="163"/>
      <c r="J1064" s="163"/>
      <c r="K1064" s="163"/>
      <c r="L1064" s="163"/>
      <c r="M1064" s="163"/>
      <c r="N1064" s="163"/>
      <c r="O1064" s="163"/>
      <c r="P1064" s="163"/>
      <c r="Q1064" s="1"/>
      <c r="R1064" s="1"/>
    </row>
    <row r="1065" ht="14.25" customHeight="1">
      <c r="A1065" s="1"/>
      <c r="B1065" s="163"/>
      <c r="C1065" s="163"/>
      <c r="D1065" s="163"/>
      <c r="E1065" s="163"/>
      <c r="F1065" s="163"/>
      <c r="G1065" s="163"/>
      <c r="H1065" s="163"/>
      <c r="I1065" s="163"/>
      <c r="J1065" s="163"/>
      <c r="K1065" s="163"/>
      <c r="L1065" s="163"/>
      <c r="M1065" s="163"/>
      <c r="N1065" s="163"/>
      <c r="O1065" s="163"/>
      <c r="P1065" s="163"/>
      <c r="Q1065" s="1"/>
      <c r="R1065" s="1"/>
    </row>
    <row r="1066" ht="14.25" customHeight="1">
      <c r="A1066" s="1"/>
      <c r="B1066" s="163"/>
      <c r="C1066" s="163"/>
      <c r="D1066" s="163"/>
      <c r="E1066" s="163"/>
      <c r="F1066" s="163"/>
      <c r="G1066" s="163"/>
      <c r="H1066" s="163"/>
      <c r="I1066" s="163"/>
      <c r="J1066" s="163"/>
      <c r="K1066" s="163"/>
      <c r="L1066" s="163"/>
      <c r="M1066" s="163"/>
      <c r="N1066" s="163"/>
      <c r="O1066" s="163"/>
      <c r="P1066" s="163"/>
      <c r="Q1066" s="1"/>
      <c r="R1066" s="1"/>
    </row>
    <row r="1067" ht="14.25" customHeight="1">
      <c r="A1067" s="1"/>
      <c r="B1067" s="163"/>
      <c r="C1067" s="163"/>
      <c r="D1067" s="163"/>
      <c r="E1067" s="163"/>
      <c r="F1067" s="163"/>
      <c r="G1067" s="163"/>
      <c r="H1067" s="163"/>
      <c r="I1067" s="163"/>
      <c r="J1067" s="163"/>
      <c r="K1067" s="163"/>
      <c r="L1067" s="163"/>
      <c r="M1067" s="163"/>
      <c r="N1067" s="163"/>
      <c r="O1067" s="163"/>
      <c r="P1067" s="163"/>
      <c r="Q1067" s="1"/>
      <c r="R1067" s="1"/>
    </row>
    <row r="1068" ht="14.25" customHeight="1">
      <c r="A1068" s="1"/>
      <c r="B1068" s="163"/>
      <c r="C1068" s="163"/>
      <c r="D1068" s="163"/>
      <c r="E1068" s="163"/>
      <c r="F1068" s="163"/>
      <c r="G1068" s="163"/>
      <c r="H1068" s="163"/>
      <c r="I1068" s="163"/>
      <c r="J1068" s="163"/>
      <c r="K1068" s="163"/>
      <c r="L1068" s="163"/>
      <c r="M1068" s="163"/>
      <c r="N1068" s="163"/>
      <c r="O1068" s="163"/>
      <c r="P1068" s="163"/>
      <c r="Q1068" s="1"/>
      <c r="R1068" s="1"/>
    </row>
    <row r="1069" ht="14.25" customHeight="1">
      <c r="A1069" s="1"/>
      <c r="B1069" s="163"/>
      <c r="C1069" s="163"/>
      <c r="D1069" s="163"/>
      <c r="E1069" s="163"/>
      <c r="F1069" s="163"/>
      <c r="G1069" s="163"/>
      <c r="H1069" s="163"/>
      <c r="I1069" s="163"/>
      <c r="J1069" s="163"/>
      <c r="K1069" s="163"/>
      <c r="L1069" s="163"/>
      <c r="M1069" s="163"/>
      <c r="N1069" s="163"/>
      <c r="O1069" s="163"/>
      <c r="P1069" s="163"/>
      <c r="Q1069" s="1"/>
      <c r="R1069" s="1"/>
    </row>
    <row r="1070" ht="14.25" customHeight="1">
      <c r="A1070" s="1"/>
      <c r="B1070" s="163"/>
      <c r="C1070" s="163"/>
      <c r="D1070" s="163"/>
      <c r="E1070" s="163"/>
      <c r="F1070" s="163"/>
      <c r="G1070" s="163"/>
      <c r="H1070" s="163"/>
      <c r="I1070" s="163"/>
      <c r="J1070" s="163"/>
      <c r="K1070" s="163"/>
      <c r="L1070" s="163"/>
      <c r="M1070" s="163"/>
      <c r="N1070" s="163"/>
      <c r="O1070" s="163"/>
      <c r="P1070" s="163"/>
      <c r="Q1070" s="1"/>
      <c r="R1070" s="1"/>
    </row>
    <row r="1071" ht="14.25" customHeight="1">
      <c r="A1071" s="1"/>
      <c r="B1071" s="163"/>
      <c r="C1071" s="163"/>
      <c r="D1071" s="163"/>
      <c r="E1071" s="163"/>
      <c r="F1071" s="163"/>
      <c r="G1071" s="163"/>
      <c r="H1071" s="163"/>
      <c r="I1071" s="163"/>
      <c r="J1071" s="163"/>
      <c r="K1071" s="163"/>
      <c r="L1071" s="163"/>
      <c r="M1071" s="163"/>
      <c r="N1071" s="163"/>
      <c r="O1071" s="163"/>
      <c r="P1071" s="163"/>
      <c r="Q1071" s="1"/>
      <c r="R1071" s="1"/>
    </row>
    <row r="1072" ht="14.25" customHeight="1">
      <c r="A1072" s="1"/>
      <c r="B1072" s="163"/>
      <c r="C1072" s="163"/>
      <c r="D1072" s="163"/>
      <c r="E1072" s="163"/>
      <c r="F1072" s="163"/>
      <c r="G1072" s="163"/>
      <c r="H1072" s="163"/>
      <c r="I1072" s="163"/>
      <c r="J1072" s="163"/>
      <c r="K1072" s="163"/>
      <c r="L1072" s="163"/>
      <c r="M1072" s="163"/>
      <c r="N1072" s="163"/>
      <c r="O1072" s="163"/>
      <c r="P1072" s="163"/>
      <c r="Q1072" s="1"/>
      <c r="R1072" s="1"/>
    </row>
    <row r="1073" ht="14.25" customHeight="1">
      <c r="A1073" s="1"/>
      <c r="B1073" s="163"/>
      <c r="C1073" s="163"/>
      <c r="D1073" s="163"/>
      <c r="E1073" s="163"/>
      <c r="F1073" s="163"/>
      <c r="G1073" s="163"/>
      <c r="H1073" s="163"/>
      <c r="I1073" s="163"/>
      <c r="J1073" s="163"/>
      <c r="K1073" s="163"/>
      <c r="L1073" s="163"/>
      <c r="M1073" s="163"/>
      <c r="N1073" s="163"/>
      <c r="O1073" s="163"/>
      <c r="P1073" s="163"/>
      <c r="Q1073" s="1"/>
      <c r="R1073" s="1"/>
    </row>
    <row r="1074" ht="14.25" customHeight="1">
      <c r="A1074" s="1"/>
      <c r="B1074" s="163"/>
      <c r="C1074" s="163"/>
      <c r="D1074" s="163"/>
      <c r="E1074" s="163"/>
      <c r="F1074" s="163"/>
      <c r="G1074" s="163"/>
      <c r="H1074" s="163"/>
      <c r="I1074" s="163"/>
      <c r="J1074" s="163"/>
      <c r="K1074" s="163"/>
      <c r="L1074" s="163"/>
      <c r="M1074" s="163"/>
      <c r="N1074" s="163"/>
      <c r="O1074" s="163"/>
      <c r="P1074" s="163"/>
      <c r="Q1074" s="1"/>
      <c r="R1074" s="1"/>
    </row>
    <row r="1075" ht="14.25" customHeight="1">
      <c r="A1075" s="1"/>
      <c r="B1075" s="163"/>
      <c r="C1075" s="163"/>
      <c r="D1075" s="163"/>
      <c r="E1075" s="163"/>
      <c r="F1075" s="163"/>
      <c r="G1075" s="163"/>
      <c r="H1075" s="163"/>
      <c r="I1075" s="163"/>
      <c r="J1075" s="163"/>
      <c r="K1075" s="163"/>
      <c r="L1075" s="163"/>
      <c r="M1075" s="163"/>
      <c r="N1075" s="163"/>
      <c r="O1075" s="163"/>
      <c r="P1075" s="163"/>
      <c r="Q1075" s="1"/>
      <c r="R1075" s="1"/>
    </row>
    <row r="1076" ht="14.25" customHeight="1">
      <c r="A1076" s="1"/>
      <c r="B1076" s="163"/>
      <c r="C1076" s="163"/>
      <c r="D1076" s="163"/>
      <c r="E1076" s="163"/>
      <c r="F1076" s="163"/>
      <c r="G1076" s="163"/>
      <c r="H1076" s="163"/>
      <c r="I1076" s="163"/>
      <c r="J1076" s="163"/>
      <c r="K1076" s="163"/>
      <c r="L1076" s="163"/>
      <c r="M1076" s="163"/>
      <c r="N1076" s="163"/>
      <c r="O1076" s="163"/>
      <c r="P1076" s="163"/>
      <c r="Q1076" s="1"/>
      <c r="R1076" s="1"/>
    </row>
    <row r="1077" ht="14.25" customHeight="1">
      <c r="A1077" s="1"/>
      <c r="B1077" s="163"/>
      <c r="C1077" s="163"/>
      <c r="D1077" s="163"/>
      <c r="E1077" s="163"/>
      <c r="F1077" s="163"/>
      <c r="G1077" s="163"/>
      <c r="H1077" s="163"/>
      <c r="I1077" s="163"/>
      <c r="J1077" s="163"/>
      <c r="K1077" s="163"/>
      <c r="L1077" s="163"/>
      <c r="M1077" s="163"/>
      <c r="N1077" s="163"/>
      <c r="O1077" s="163"/>
      <c r="P1077" s="163"/>
      <c r="Q1077" s="1"/>
      <c r="R1077" s="1"/>
    </row>
    <row r="1078" ht="14.25" customHeight="1">
      <c r="A1078" s="1"/>
      <c r="B1078" s="163"/>
      <c r="C1078" s="163"/>
      <c r="D1078" s="163"/>
      <c r="E1078" s="163"/>
      <c r="F1078" s="163"/>
      <c r="G1078" s="163"/>
      <c r="H1078" s="163"/>
      <c r="I1078" s="163"/>
      <c r="J1078" s="163"/>
      <c r="K1078" s="163"/>
      <c r="L1078" s="163"/>
      <c r="M1078" s="163"/>
      <c r="N1078" s="163"/>
      <c r="O1078" s="163"/>
      <c r="P1078" s="163"/>
      <c r="Q1078" s="1"/>
      <c r="R1078" s="1"/>
    </row>
    <row r="1079" ht="14.25" customHeight="1">
      <c r="A1079" s="1"/>
      <c r="B1079" s="163"/>
      <c r="C1079" s="163"/>
      <c r="D1079" s="163"/>
      <c r="E1079" s="163"/>
      <c r="F1079" s="163"/>
      <c r="G1079" s="163"/>
      <c r="H1079" s="163"/>
      <c r="I1079" s="163"/>
      <c r="J1079" s="163"/>
      <c r="K1079" s="163"/>
      <c r="L1079" s="163"/>
      <c r="M1079" s="163"/>
      <c r="N1079" s="163"/>
      <c r="O1079" s="163"/>
      <c r="P1079" s="163"/>
      <c r="Q1079" s="1"/>
      <c r="R1079" s="1"/>
    </row>
    <row r="1080" ht="14.25" customHeight="1">
      <c r="A1080" s="1"/>
      <c r="B1080" s="163"/>
      <c r="C1080" s="163"/>
      <c r="D1080" s="163"/>
      <c r="E1080" s="163"/>
      <c r="F1080" s="163"/>
      <c r="G1080" s="163"/>
      <c r="H1080" s="163"/>
      <c r="I1080" s="163"/>
      <c r="J1080" s="163"/>
      <c r="K1080" s="163"/>
      <c r="L1080" s="163"/>
      <c r="M1080" s="163"/>
      <c r="N1080" s="163"/>
      <c r="O1080" s="163"/>
      <c r="P1080" s="163"/>
      <c r="Q1080" s="1"/>
      <c r="R1080" s="1"/>
    </row>
  </sheetData>
  <mergeCells count="20">
    <mergeCell ref="D2:D3"/>
    <mergeCell ref="E2:F3"/>
    <mergeCell ref="K2:M3"/>
    <mergeCell ref="G5:I5"/>
    <mergeCell ref="N5:P5"/>
    <mergeCell ref="G6:I6"/>
    <mergeCell ref="G7:I7"/>
    <mergeCell ref="D34:E35"/>
    <mergeCell ref="D53:E53"/>
    <mergeCell ref="K53:L53"/>
    <mergeCell ref="N53:O53"/>
    <mergeCell ref="D101:G101"/>
    <mergeCell ref="K101:N101"/>
    <mergeCell ref="N6:P6"/>
    <mergeCell ref="N7:P7"/>
    <mergeCell ref="K14:L14"/>
    <mergeCell ref="K30:L30"/>
    <mergeCell ref="F34:F35"/>
    <mergeCell ref="K34:L35"/>
    <mergeCell ref="M34:M35"/>
  </mergeCells>
  <conditionalFormatting sqref="M34">
    <cfRule type="cellIs" dxfId="0" priority="1" operator="lessThan">
      <formula>0</formula>
    </cfRule>
  </conditionalFormatting>
  <conditionalFormatting sqref="F34">
    <cfRule type="cellIs" dxfId="1" priority="2" operator="greaterThan">
      <formula>0</formula>
    </cfRule>
  </conditionalFormatting>
  <conditionalFormatting sqref="M34">
    <cfRule type="cellIs" dxfId="1" priority="3" operator="greaterThan">
      <formula>0</formula>
    </cfRule>
  </conditionalFormatting>
  <dataValidations>
    <dataValidation type="list" allowBlank="1" showErrorMessage="1" sqref="E1">
      <formula1>"myLife,Stuttgarter,Allianz,Axa,LV1871,Alte Leipziger,Pangaea Life"</formula1>
    </dataValidation>
    <dataValidation type="list" allowBlank="1" showErrorMessage="1" sqref="P2">
      <formula1>"Ja,Nein"</formula1>
    </dataValidation>
  </dataValidations>
  <printOptions/>
  <pageMargins bottom="0.7" footer="0.0" header="0.0" left="0.787401575" right="0.787401575" top="0.7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0"/>
  <cols>
    <col customWidth="1" min="1" max="1" width="45.25"/>
    <col customWidth="1" min="13" max="13" width="13.63"/>
    <col customWidth="1" min="25" max="25" width="45.25"/>
  </cols>
  <sheetData>
    <row r="1">
      <c r="B1" s="175"/>
      <c r="C1" s="175"/>
      <c r="D1" s="175"/>
      <c r="E1" s="176"/>
      <c r="F1" s="176"/>
      <c r="G1" s="176"/>
      <c r="H1" s="176"/>
      <c r="I1" s="176" t="s">
        <v>55</v>
      </c>
      <c r="J1" s="177"/>
      <c r="K1" s="177"/>
      <c r="L1" s="177"/>
      <c r="M1" s="177"/>
      <c r="O1" s="178" t="s">
        <v>56</v>
      </c>
    </row>
    <row r="2">
      <c r="A2" s="179" t="s">
        <v>57</v>
      </c>
      <c r="B2" s="180" t="s">
        <v>58</v>
      </c>
      <c r="C2" s="180" t="s">
        <v>59</v>
      </c>
      <c r="D2" s="180" t="s">
        <v>60</v>
      </c>
      <c r="E2" s="177"/>
      <c r="F2" s="177"/>
      <c r="G2" s="177"/>
      <c r="H2" s="177"/>
      <c r="I2" s="177"/>
      <c r="J2" s="177"/>
      <c r="K2" s="177"/>
      <c r="L2" s="177"/>
      <c r="M2" s="177"/>
      <c r="O2" s="19" t="s">
        <v>61</v>
      </c>
      <c r="P2" s="19" t="s">
        <v>62</v>
      </c>
      <c r="R2" s="19" t="s">
        <v>63</v>
      </c>
    </row>
    <row r="3">
      <c r="A3" s="181" t="s">
        <v>64</v>
      </c>
      <c r="B3" s="182">
        <v>0.023</v>
      </c>
      <c r="C3" s="182">
        <v>0.045</v>
      </c>
      <c r="D3" s="182">
        <v>0.022</v>
      </c>
      <c r="E3" s="183"/>
      <c r="F3" s="183"/>
      <c r="G3" s="183"/>
      <c r="H3" s="183"/>
      <c r="I3" s="184" t="s">
        <v>64</v>
      </c>
      <c r="J3" s="185"/>
      <c r="K3" s="185"/>
      <c r="L3" s="185"/>
      <c r="M3" s="186"/>
      <c r="O3" s="19" t="s">
        <v>65</v>
      </c>
      <c r="P3" s="19" t="s">
        <v>27</v>
      </c>
      <c r="R3" s="184" t="s">
        <v>64</v>
      </c>
      <c r="S3" s="185"/>
      <c r="T3" s="185"/>
      <c r="U3" s="185"/>
      <c r="V3" s="186"/>
      <c r="Y3" s="187"/>
      <c r="Z3" s="187" t="s">
        <v>58</v>
      </c>
      <c r="AA3" s="187" t="s">
        <v>59</v>
      </c>
      <c r="AB3" s="187" t="s">
        <v>60</v>
      </c>
    </row>
    <row r="4">
      <c r="A4" s="181" t="s">
        <v>66</v>
      </c>
      <c r="B4" s="182">
        <v>0.025</v>
      </c>
      <c r="C4" s="182">
        <v>0.083</v>
      </c>
      <c r="D4" s="182">
        <v>0.005</v>
      </c>
      <c r="E4" s="188"/>
      <c r="F4" s="188"/>
      <c r="G4" s="188"/>
      <c r="H4" s="188"/>
      <c r="I4" s="189" t="s">
        <v>61</v>
      </c>
      <c r="J4" s="190">
        <v>0.006</v>
      </c>
      <c r="K4" s="191" t="s">
        <v>25</v>
      </c>
      <c r="L4" s="192">
        <v>98.0</v>
      </c>
      <c r="M4" s="193" t="s">
        <v>26</v>
      </c>
      <c r="O4" s="19" t="s">
        <v>67</v>
      </c>
      <c r="P4" s="19" t="s">
        <v>28</v>
      </c>
      <c r="R4" s="189" t="s">
        <v>61</v>
      </c>
      <c r="S4" s="190">
        <v>0.006</v>
      </c>
      <c r="T4" s="191" t="s">
        <v>25</v>
      </c>
      <c r="U4" s="192">
        <v>98.0</v>
      </c>
      <c r="V4" s="193" t="s">
        <v>26</v>
      </c>
      <c r="Y4" s="187" t="s">
        <v>64</v>
      </c>
      <c r="Z4" s="194">
        <v>0.023</v>
      </c>
      <c r="AA4" s="194">
        <v>0.045</v>
      </c>
      <c r="AB4" s="194">
        <v>0.022</v>
      </c>
    </row>
    <row r="5">
      <c r="A5" s="181" t="s">
        <v>68</v>
      </c>
      <c r="B5" s="182">
        <v>0.025</v>
      </c>
      <c r="C5" s="182">
        <v>0.09</v>
      </c>
      <c r="D5" s="182">
        <v>0.0045</v>
      </c>
      <c r="E5" s="188"/>
      <c r="F5" s="188"/>
      <c r="G5" s="188"/>
      <c r="H5" s="188"/>
      <c r="I5" s="189" t="s">
        <v>69</v>
      </c>
      <c r="J5" s="190">
        <v>0.0175</v>
      </c>
      <c r="K5" s="191" t="s">
        <v>70</v>
      </c>
      <c r="L5" s="192">
        <v>0.0</v>
      </c>
      <c r="M5" s="193" t="s">
        <v>71</v>
      </c>
      <c r="R5" s="189" t="s">
        <v>69</v>
      </c>
      <c r="S5" s="190">
        <v>0.0175</v>
      </c>
      <c r="T5" s="191" t="s">
        <v>70</v>
      </c>
      <c r="U5" s="192">
        <v>0.0</v>
      </c>
      <c r="V5" s="193" t="s">
        <v>71</v>
      </c>
      <c r="Y5" s="187" t="s">
        <v>66</v>
      </c>
      <c r="Z5" s="194">
        <v>0.025</v>
      </c>
      <c r="AA5" s="194">
        <v>0.083</v>
      </c>
      <c r="AB5" s="194">
        <v>0.005</v>
      </c>
    </row>
    <row r="6">
      <c r="A6" s="181" t="s">
        <v>72</v>
      </c>
      <c r="B6" s="182">
        <v>0.025</v>
      </c>
      <c r="C6" s="182">
        <v>0.07</v>
      </c>
      <c r="D6" s="182">
        <v>0.017</v>
      </c>
      <c r="E6" s="188"/>
      <c r="F6" s="188"/>
      <c r="G6" s="188"/>
      <c r="H6" s="188"/>
      <c r="I6" s="189" t="s">
        <v>73</v>
      </c>
      <c r="J6" s="190">
        <v>0.0</v>
      </c>
      <c r="K6" s="195" t="s">
        <v>74</v>
      </c>
      <c r="L6" s="192">
        <v>0.0</v>
      </c>
      <c r="M6" s="193" t="s">
        <v>48</v>
      </c>
      <c r="R6" s="189" t="s">
        <v>73</v>
      </c>
      <c r="S6" s="190">
        <v>0.0</v>
      </c>
      <c r="T6" s="195" t="s">
        <v>74</v>
      </c>
      <c r="U6" s="192">
        <v>0.0</v>
      </c>
      <c r="V6" s="193" t="s">
        <v>48</v>
      </c>
      <c r="Y6" s="187" t="s">
        <v>68</v>
      </c>
      <c r="Z6" s="194">
        <v>0.025</v>
      </c>
      <c r="AA6" s="194">
        <v>0.09</v>
      </c>
      <c r="AB6" s="194">
        <v>0.0045</v>
      </c>
    </row>
    <row r="7">
      <c r="A7" s="181" t="s">
        <v>75</v>
      </c>
      <c r="B7" s="182">
        <v>0.025</v>
      </c>
      <c r="C7" s="182">
        <v>0.058</v>
      </c>
      <c r="D7" s="182">
        <v>0.036</v>
      </c>
      <c r="E7" s="188"/>
      <c r="F7" s="188"/>
      <c r="G7" s="188"/>
      <c r="H7" s="188"/>
      <c r="I7" s="189" t="s">
        <v>76</v>
      </c>
      <c r="J7" s="190">
        <v>0.0</v>
      </c>
      <c r="K7" s="191" t="s">
        <v>77</v>
      </c>
      <c r="L7" s="196">
        <v>0.0</v>
      </c>
      <c r="M7" s="193" t="s">
        <v>78</v>
      </c>
      <c r="P7" s="197"/>
      <c r="R7" s="189" t="s">
        <v>76</v>
      </c>
      <c r="S7" s="190">
        <v>0.0</v>
      </c>
      <c r="T7" s="191" t="s">
        <v>77</v>
      </c>
      <c r="U7" s="196">
        <v>0.0</v>
      </c>
      <c r="V7" s="193" t="s">
        <v>78</v>
      </c>
      <c r="Y7" s="187" t="s">
        <v>72</v>
      </c>
      <c r="Z7" s="194">
        <v>0.025</v>
      </c>
      <c r="AA7" s="194">
        <v>0.07</v>
      </c>
      <c r="AB7" s="194">
        <v>0.017</v>
      </c>
    </row>
    <row r="8">
      <c r="A8" s="181" t="s">
        <v>79</v>
      </c>
      <c r="B8" s="182">
        <v>0.025</v>
      </c>
      <c r="C8" s="182">
        <v>0.12</v>
      </c>
      <c r="D8" s="182">
        <v>0.05</v>
      </c>
      <c r="E8" s="188"/>
      <c r="F8" s="188"/>
      <c r="G8" s="188"/>
      <c r="H8" s="188"/>
      <c r="I8" s="189" t="s">
        <v>67</v>
      </c>
      <c r="J8" s="190">
        <v>0.0067</v>
      </c>
      <c r="K8" s="191" t="s">
        <v>80</v>
      </c>
      <c r="L8" s="196">
        <v>0.0</v>
      </c>
      <c r="M8" s="193" t="s">
        <v>81</v>
      </c>
      <c r="P8" s="198"/>
      <c r="R8" s="189" t="s">
        <v>67</v>
      </c>
      <c r="S8" s="190">
        <v>0.0067</v>
      </c>
      <c r="T8" s="191" t="s">
        <v>80</v>
      </c>
      <c r="U8" s="196">
        <v>0.0</v>
      </c>
      <c r="V8" s="193" t="s">
        <v>81</v>
      </c>
      <c r="Y8" s="187" t="s">
        <v>75</v>
      </c>
      <c r="Z8" s="194">
        <v>0.025</v>
      </c>
      <c r="AA8" s="194">
        <v>0.058</v>
      </c>
      <c r="AB8" s="194">
        <v>0.036</v>
      </c>
    </row>
    <row r="9">
      <c r="A9" s="181" t="s">
        <v>82</v>
      </c>
      <c r="B9" s="182">
        <v>0.025</v>
      </c>
      <c r="C9" s="182">
        <v>0.13</v>
      </c>
      <c r="D9" s="182">
        <v>0.0188</v>
      </c>
      <c r="E9" s="188"/>
      <c r="F9" s="188"/>
      <c r="G9" s="188"/>
      <c r="H9" s="188"/>
      <c r="I9" s="199" t="s">
        <v>83</v>
      </c>
      <c r="J9" s="200">
        <v>0.0</v>
      </c>
      <c r="K9" s="201"/>
      <c r="L9" s="202"/>
      <c r="M9" s="203"/>
      <c r="O9" s="204"/>
      <c r="R9" s="199" t="s">
        <v>83</v>
      </c>
      <c r="S9" s="200">
        <v>0.0</v>
      </c>
      <c r="T9" s="201"/>
      <c r="U9" s="202"/>
      <c r="V9" s="203"/>
      <c r="Y9" s="187" t="s">
        <v>79</v>
      </c>
      <c r="Z9" s="194">
        <v>0.025</v>
      </c>
      <c r="AA9" s="194">
        <v>0.12</v>
      </c>
      <c r="AB9" s="194">
        <v>0.05</v>
      </c>
    </row>
    <row r="10">
      <c r="A10" s="181" t="s">
        <v>84</v>
      </c>
      <c r="B10" s="182">
        <v>0.025</v>
      </c>
      <c r="C10" s="182">
        <v>0.11</v>
      </c>
      <c r="D10" s="182">
        <v>0.015</v>
      </c>
      <c r="Y10" s="187" t="s">
        <v>82</v>
      </c>
      <c r="Z10" s="194">
        <v>0.025</v>
      </c>
      <c r="AA10" s="194">
        <v>0.13</v>
      </c>
      <c r="AB10" s="194">
        <v>0.0188</v>
      </c>
    </row>
    <row r="11">
      <c r="A11" s="181" t="s">
        <v>85</v>
      </c>
      <c r="B11" s="182">
        <v>0.025</v>
      </c>
      <c r="C11" s="182">
        <v>0.047</v>
      </c>
      <c r="D11" s="182">
        <v>0.032</v>
      </c>
      <c r="Y11" s="205" t="s">
        <v>84</v>
      </c>
      <c r="Z11" s="206">
        <v>0.025</v>
      </c>
      <c r="AA11" s="206">
        <v>0.11</v>
      </c>
      <c r="AB11" s="206">
        <v>0.015</v>
      </c>
    </row>
    <row r="12">
      <c r="A12" s="181" t="s">
        <v>86</v>
      </c>
      <c r="B12" s="182">
        <v>0.025</v>
      </c>
      <c r="C12" s="182">
        <v>0.062</v>
      </c>
      <c r="D12" s="182">
        <v>0.0081</v>
      </c>
      <c r="E12" s="183"/>
      <c r="F12" s="183"/>
      <c r="G12" s="183"/>
      <c r="H12" s="183"/>
      <c r="I12" s="184" t="s">
        <v>68</v>
      </c>
      <c r="J12" s="185"/>
      <c r="K12" s="185"/>
      <c r="L12" s="185"/>
      <c r="M12" s="186"/>
      <c r="R12" s="184" t="s">
        <v>68</v>
      </c>
      <c r="S12" s="185"/>
      <c r="T12" s="185"/>
      <c r="U12" s="185"/>
      <c r="V12" s="186"/>
      <c r="Y12" s="205" t="s">
        <v>85</v>
      </c>
      <c r="Z12" s="206">
        <v>0.025</v>
      </c>
      <c r="AA12" s="206">
        <v>0.047</v>
      </c>
      <c r="AB12" s="206">
        <v>0.032</v>
      </c>
    </row>
    <row r="13">
      <c r="A13" s="181" t="s">
        <v>87</v>
      </c>
      <c r="B13" s="182">
        <v>0.025</v>
      </c>
      <c r="C13" s="182">
        <v>0.1</v>
      </c>
      <c r="D13" s="182">
        <v>0.0172</v>
      </c>
      <c r="E13" s="188"/>
      <c r="F13" s="188"/>
      <c r="G13" s="188"/>
      <c r="H13" s="188"/>
      <c r="I13" s="189" t="s">
        <v>61</v>
      </c>
      <c r="J13" s="190">
        <v>0.0</v>
      </c>
      <c r="K13" s="191" t="s">
        <v>25</v>
      </c>
      <c r="L13" s="192">
        <v>60.0</v>
      </c>
      <c r="M13" s="193" t="s">
        <v>26</v>
      </c>
      <c r="R13" s="189" t="s">
        <v>61</v>
      </c>
      <c r="S13" s="190">
        <v>0.0</v>
      </c>
      <c r="T13" s="191" t="s">
        <v>25</v>
      </c>
      <c r="U13" s="192">
        <v>60.0</v>
      </c>
      <c r="V13" s="193" t="s">
        <v>26</v>
      </c>
      <c r="Y13" s="187" t="s">
        <v>86</v>
      </c>
      <c r="Z13" s="194">
        <v>0.025</v>
      </c>
      <c r="AA13" s="194">
        <v>0.062</v>
      </c>
      <c r="AB13" s="194">
        <v>0.0081</v>
      </c>
    </row>
    <row r="14">
      <c r="A14" s="181" t="s">
        <v>88</v>
      </c>
      <c r="B14" s="182">
        <v>0.025</v>
      </c>
      <c r="C14" s="182">
        <v>0.11</v>
      </c>
      <c r="D14" s="182">
        <v>0.022</v>
      </c>
      <c r="E14" s="188"/>
      <c r="F14" s="188"/>
      <c r="G14" s="188"/>
      <c r="H14" s="188"/>
      <c r="I14" s="189" t="s">
        <v>69</v>
      </c>
      <c r="J14" s="190">
        <v>0.04</v>
      </c>
      <c r="K14" s="191" t="s">
        <v>70</v>
      </c>
      <c r="L14" s="192">
        <v>0.0</v>
      </c>
      <c r="M14" s="193" t="s">
        <v>71</v>
      </c>
      <c r="R14" s="189" t="s">
        <v>69</v>
      </c>
      <c r="S14" s="190">
        <v>0.04</v>
      </c>
      <c r="T14" s="191" t="s">
        <v>70</v>
      </c>
      <c r="U14" s="192">
        <v>0.0</v>
      </c>
      <c r="V14" s="193" t="s">
        <v>71</v>
      </c>
      <c r="Y14" s="187" t="s">
        <v>87</v>
      </c>
      <c r="Z14" s="194">
        <v>0.025</v>
      </c>
      <c r="AA14" s="194">
        <v>0.1</v>
      </c>
      <c r="AB14" s="194">
        <v>0.0172</v>
      </c>
    </row>
    <row r="15">
      <c r="A15" s="181" t="s">
        <v>89</v>
      </c>
      <c r="B15" s="182">
        <v>0.025</v>
      </c>
      <c r="C15" s="182">
        <v>0.0516</v>
      </c>
      <c r="D15" s="182">
        <v>0.0147</v>
      </c>
      <c r="E15" s="188"/>
      <c r="F15" s="188"/>
      <c r="G15" s="188"/>
      <c r="H15" s="188"/>
      <c r="I15" s="189" t="s">
        <v>73</v>
      </c>
      <c r="J15" s="190">
        <v>0.0</v>
      </c>
      <c r="K15" s="195" t="s">
        <v>74</v>
      </c>
      <c r="L15" s="192">
        <v>0.0</v>
      </c>
      <c r="M15" s="193" t="s">
        <v>48</v>
      </c>
      <c r="R15" s="189" t="s">
        <v>73</v>
      </c>
      <c r="S15" s="190">
        <v>0.0</v>
      </c>
      <c r="T15" s="195" t="s">
        <v>74</v>
      </c>
      <c r="U15" s="192">
        <v>0.0</v>
      </c>
      <c r="V15" s="193" t="s">
        <v>48</v>
      </c>
      <c r="Y15" s="187" t="s">
        <v>88</v>
      </c>
      <c r="Z15" s="194">
        <v>0.025</v>
      </c>
      <c r="AA15" s="194">
        <v>0.11</v>
      </c>
      <c r="AB15" s="194">
        <v>0.022</v>
      </c>
    </row>
    <row r="16">
      <c r="A16" s="181" t="s">
        <v>90</v>
      </c>
      <c r="B16" s="182">
        <v>0.025</v>
      </c>
      <c r="C16" s="182">
        <v>0.11</v>
      </c>
      <c r="D16" s="182">
        <v>0.015</v>
      </c>
      <c r="E16" s="188"/>
      <c r="F16" s="188"/>
      <c r="G16" s="188"/>
      <c r="H16" s="188"/>
      <c r="I16" s="189" t="s">
        <v>76</v>
      </c>
      <c r="J16" s="190">
        <v>0.0</v>
      </c>
      <c r="K16" s="191" t="s">
        <v>77</v>
      </c>
      <c r="L16" s="196">
        <v>0.0</v>
      </c>
      <c r="M16" s="193" t="s">
        <v>78</v>
      </c>
      <c r="R16" s="189" t="s">
        <v>76</v>
      </c>
      <c r="S16" s="190">
        <v>0.0</v>
      </c>
      <c r="T16" s="191" t="s">
        <v>77</v>
      </c>
      <c r="U16" s="196">
        <v>0.0</v>
      </c>
      <c r="V16" s="193" t="s">
        <v>78</v>
      </c>
      <c r="Y16" s="187" t="s">
        <v>89</v>
      </c>
      <c r="Z16" s="194">
        <v>0.025</v>
      </c>
      <c r="AA16" s="194">
        <v>0.0516</v>
      </c>
      <c r="AB16" s="194">
        <v>0.0147</v>
      </c>
    </row>
    <row r="17">
      <c r="A17" s="181" t="s">
        <v>91</v>
      </c>
      <c r="B17" s="182">
        <v>0.025</v>
      </c>
      <c r="C17" s="182">
        <v>0.113</v>
      </c>
      <c r="D17" s="182">
        <v>0.02</v>
      </c>
      <c r="E17" s="188"/>
      <c r="F17" s="188"/>
      <c r="G17" s="188"/>
      <c r="H17" s="188"/>
      <c r="I17" s="189" t="s">
        <v>67</v>
      </c>
      <c r="J17" s="190">
        <v>0.00653</v>
      </c>
      <c r="K17" s="191" t="s">
        <v>80</v>
      </c>
      <c r="L17" s="196">
        <v>0.0</v>
      </c>
      <c r="M17" s="193" t="s">
        <v>81</v>
      </c>
      <c r="R17" s="189" t="s">
        <v>67</v>
      </c>
      <c r="S17" s="190">
        <v>0.00653</v>
      </c>
      <c r="T17" s="191" t="s">
        <v>80</v>
      </c>
      <c r="U17" s="196">
        <v>0.0</v>
      </c>
      <c r="V17" s="193" t="s">
        <v>81</v>
      </c>
      <c r="Y17" s="187" t="s">
        <v>90</v>
      </c>
      <c r="Z17" s="194">
        <v>0.025</v>
      </c>
      <c r="AA17" s="194">
        <v>0.11</v>
      </c>
      <c r="AB17" s="194">
        <v>0.015</v>
      </c>
    </row>
    <row r="18">
      <c r="A18" s="181" t="s">
        <v>92</v>
      </c>
      <c r="B18" s="182">
        <v>0.025</v>
      </c>
      <c r="C18" s="182">
        <v>0.138</v>
      </c>
      <c r="D18" s="182">
        <v>0.024</v>
      </c>
      <c r="E18" s="188"/>
      <c r="F18" s="188"/>
      <c r="G18" s="188"/>
      <c r="H18" s="188"/>
      <c r="I18" s="199" t="s">
        <v>83</v>
      </c>
      <c r="J18" s="200">
        <v>0.0</v>
      </c>
      <c r="K18" s="201"/>
      <c r="L18" s="202"/>
      <c r="M18" s="203"/>
      <c r="R18" s="199" t="s">
        <v>83</v>
      </c>
      <c r="S18" s="200">
        <v>0.0</v>
      </c>
      <c r="T18" s="201"/>
      <c r="U18" s="202"/>
      <c r="V18" s="203"/>
      <c r="Y18" s="187" t="s">
        <v>91</v>
      </c>
      <c r="Z18" s="194">
        <v>0.025</v>
      </c>
      <c r="AA18" s="194">
        <v>0.113</v>
      </c>
      <c r="AB18" s="194">
        <v>0.02</v>
      </c>
    </row>
    <row r="19">
      <c r="A19" s="181" t="s">
        <v>93</v>
      </c>
      <c r="B19" s="182">
        <v>0.025</v>
      </c>
      <c r="C19" s="182">
        <v>0.09</v>
      </c>
      <c r="D19" s="182">
        <v>0.004</v>
      </c>
      <c r="N19" s="204"/>
      <c r="Y19" s="187" t="s">
        <v>92</v>
      </c>
      <c r="Z19" s="194">
        <v>0.025</v>
      </c>
      <c r="AA19" s="194">
        <v>0.138</v>
      </c>
      <c r="AB19" s="194">
        <v>0.024</v>
      </c>
    </row>
    <row r="20">
      <c r="A20" s="181" t="s">
        <v>94</v>
      </c>
      <c r="B20" s="182">
        <v>0.025</v>
      </c>
      <c r="C20" s="182">
        <v>0.089</v>
      </c>
      <c r="D20" s="182">
        <v>0.004</v>
      </c>
      <c r="Y20" s="187" t="s">
        <v>93</v>
      </c>
      <c r="Z20" s="194">
        <v>0.025</v>
      </c>
      <c r="AA20" s="194">
        <v>0.09</v>
      </c>
      <c r="AB20" s="194">
        <v>0.004</v>
      </c>
    </row>
    <row r="21">
      <c r="A21" s="181" t="s">
        <v>95</v>
      </c>
      <c r="B21" s="182">
        <v>0.0339</v>
      </c>
      <c r="C21" s="182">
        <v>0.0466</v>
      </c>
      <c r="D21" s="182">
        <v>0.0216</v>
      </c>
      <c r="E21" s="183"/>
      <c r="F21" s="183"/>
      <c r="G21" s="183"/>
      <c r="H21" s="183"/>
      <c r="I21" s="184" t="s">
        <v>96</v>
      </c>
      <c r="J21" s="185"/>
      <c r="K21" s="185"/>
      <c r="L21" s="185"/>
      <c r="M21" s="186"/>
      <c r="R21" s="184" t="s">
        <v>96</v>
      </c>
      <c r="S21" s="185"/>
      <c r="T21" s="185"/>
      <c r="U21" s="185"/>
      <c r="V21" s="186"/>
      <c r="Y21" s="187" t="s">
        <v>94</v>
      </c>
      <c r="Z21" s="194">
        <v>0.025</v>
      </c>
      <c r="AA21" s="194">
        <v>0.089</v>
      </c>
      <c r="AB21" s="194">
        <v>0.004</v>
      </c>
    </row>
    <row r="22">
      <c r="A22" s="181" t="s">
        <v>97</v>
      </c>
      <c r="B22" s="182">
        <v>0.025</v>
      </c>
      <c r="C22" s="182">
        <v>0.068</v>
      </c>
      <c r="D22" s="182">
        <v>0.036</v>
      </c>
      <c r="E22" s="188"/>
      <c r="F22" s="188"/>
      <c r="G22" s="188"/>
      <c r="H22" s="188"/>
      <c r="I22" s="189" t="s">
        <v>61</v>
      </c>
      <c r="J22" s="190">
        <v>0.0</v>
      </c>
      <c r="K22" s="191" t="s">
        <v>25</v>
      </c>
      <c r="L22" s="192">
        <v>60.0</v>
      </c>
      <c r="M22" s="193" t="s">
        <v>26</v>
      </c>
      <c r="R22" s="189" t="s">
        <v>61</v>
      </c>
      <c r="S22" s="190">
        <v>0.0</v>
      </c>
      <c r="T22" s="191" t="s">
        <v>25</v>
      </c>
      <c r="U22" s="192">
        <v>60.0</v>
      </c>
      <c r="V22" s="193" t="s">
        <v>26</v>
      </c>
      <c r="Y22" s="187" t="s">
        <v>95</v>
      </c>
      <c r="Z22" s="194">
        <v>0.0339</v>
      </c>
      <c r="AA22" s="194">
        <v>0.0466</v>
      </c>
      <c r="AB22" s="194">
        <v>0.0216</v>
      </c>
    </row>
    <row r="23">
      <c r="A23" s="181" t="s">
        <v>98</v>
      </c>
      <c r="B23" s="182">
        <v>0.025</v>
      </c>
      <c r="C23" s="182">
        <v>0.067</v>
      </c>
      <c r="D23" s="182">
        <v>0.034</v>
      </c>
      <c r="E23" s="188"/>
      <c r="F23" s="188"/>
      <c r="G23" s="188"/>
      <c r="H23" s="188"/>
      <c r="I23" s="189" t="s">
        <v>69</v>
      </c>
      <c r="J23" s="190">
        <v>0.025</v>
      </c>
      <c r="K23" s="191" t="s">
        <v>70</v>
      </c>
      <c r="L23" s="192">
        <v>0.0</v>
      </c>
      <c r="M23" s="193" t="s">
        <v>71</v>
      </c>
      <c r="R23" s="189" t="s">
        <v>69</v>
      </c>
      <c r="S23" s="190">
        <v>0.025</v>
      </c>
      <c r="T23" s="191" t="s">
        <v>70</v>
      </c>
      <c r="U23" s="192">
        <v>0.0</v>
      </c>
      <c r="V23" s="193" t="s">
        <v>71</v>
      </c>
      <c r="Y23" s="187" t="s">
        <v>97</v>
      </c>
      <c r="Z23" s="194">
        <v>0.025</v>
      </c>
      <c r="AA23" s="194">
        <v>0.068</v>
      </c>
      <c r="AB23" s="194">
        <v>0.036</v>
      </c>
    </row>
    <row r="24">
      <c r="A24" s="181" t="s">
        <v>99</v>
      </c>
      <c r="B24" s="182">
        <v>0.025</v>
      </c>
      <c r="C24" s="182">
        <v>0.049</v>
      </c>
      <c r="D24" s="182">
        <v>0.005</v>
      </c>
      <c r="E24" s="188"/>
      <c r="F24" s="188"/>
      <c r="G24" s="188"/>
      <c r="H24" s="188"/>
      <c r="I24" s="189" t="s">
        <v>73</v>
      </c>
      <c r="J24" s="190">
        <v>0.0</v>
      </c>
      <c r="K24" s="195" t="s">
        <v>74</v>
      </c>
      <c r="L24" s="192">
        <v>0.0</v>
      </c>
      <c r="M24" s="193" t="s">
        <v>48</v>
      </c>
      <c r="R24" s="189" t="s">
        <v>73</v>
      </c>
      <c r="S24" s="190">
        <v>0.0</v>
      </c>
      <c r="T24" s="195" t="s">
        <v>74</v>
      </c>
      <c r="U24" s="192">
        <v>0.0</v>
      </c>
      <c r="V24" s="193" t="s">
        <v>48</v>
      </c>
      <c r="Y24" s="187" t="s">
        <v>98</v>
      </c>
      <c r="Z24" s="194">
        <v>0.025</v>
      </c>
      <c r="AA24" s="194">
        <v>0.067</v>
      </c>
      <c r="AB24" s="194">
        <v>0.034</v>
      </c>
    </row>
    <row r="25">
      <c r="A25" s="181" t="s">
        <v>100</v>
      </c>
      <c r="B25" s="182">
        <v>0.025</v>
      </c>
      <c r="C25" s="182">
        <v>0.031</v>
      </c>
      <c r="D25" s="182">
        <v>0.0192</v>
      </c>
      <c r="E25" s="188"/>
      <c r="F25" s="188"/>
      <c r="G25" s="188"/>
      <c r="H25" s="188"/>
      <c r="I25" s="189" t="s">
        <v>76</v>
      </c>
      <c r="J25" s="190">
        <v>0.0</v>
      </c>
      <c r="K25" s="191" t="s">
        <v>77</v>
      </c>
      <c r="L25" s="196">
        <v>0.0</v>
      </c>
      <c r="M25" s="193" t="s">
        <v>78</v>
      </c>
      <c r="R25" s="189" t="s">
        <v>76</v>
      </c>
      <c r="S25" s="190">
        <v>0.0</v>
      </c>
      <c r="T25" s="191" t="s">
        <v>77</v>
      </c>
      <c r="U25" s="196">
        <v>0.0</v>
      </c>
      <c r="V25" s="193" t="s">
        <v>78</v>
      </c>
      <c r="Y25" s="187" t="s">
        <v>99</v>
      </c>
      <c r="Z25" s="194">
        <v>0.025</v>
      </c>
      <c r="AA25" s="194">
        <v>0.049</v>
      </c>
      <c r="AB25" s="194">
        <v>0.005</v>
      </c>
    </row>
    <row r="26">
      <c r="A26" s="181" t="s">
        <v>101</v>
      </c>
      <c r="B26" s="182">
        <v>0.025</v>
      </c>
      <c r="C26" s="182">
        <v>0.138</v>
      </c>
      <c r="D26" s="182">
        <v>0.024</v>
      </c>
      <c r="E26" s="188"/>
      <c r="F26" s="188"/>
      <c r="G26" s="188"/>
      <c r="H26" s="188"/>
      <c r="I26" s="189" t="s">
        <v>67</v>
      </c>
      <c r="J26" s="190">
        <v>0.0055</v>
      </c>
      <c r="K26" s="191" t="s">
        <v>80</v>
      </c>
      <c r="L26" s="196">
        <v>0.0</v>
      </c>
      <c r="M26" s="193" t="s">
        <v>81</v>
      </c>
      <c r="R26" s="189" t="s">
        <v>67</v>
      </c>
      <c r="S26" s="190">
        <v>0.0055</v>
      </c>
      <c r="T26" s="191" t="s">
        <v>80</v>
      </c>
      <c r="U26" s="196">
        <v>0.0</v>
      </c>
      <c r="V26" s="193" t="s">
        <v>81</v>
      </c>
      <c r="Y26" s="187" t="s">
        <v>100</v>
      </c>
      <c r="Z26" s="194">
        <v>0.025</v>
      </c>
      <c r="AA26" s="194">
        <v>0.031</v>
      </c>
      <c r="AB26" s="194">
        <v>0.0192</v>
      </c>
    </row>
    <row r="27">
      <c r="A27" s="181" t="s">
        <v>102</v>
      </c>
      <c r="B27" s="182">
        <v>0.025</v>
      </c>
      <c r="C27" s="182">
        <v>0.0625</v>
      </c>
      <c r="D27" s="182">
        <v>0.0249</v>
      </c>
      <c r="E27" s="188"/>
      <c r="F27" s="188"/>
      <c r="G27" s="188"/>
      <c r="H27" s="188"/>
      <c r="I27" s="199" t="s">
        <v>83</v>
      </c>
      <c r="J27" s="200">
        <v>0.0</v>
      </c>
      <c r="K27" s="201"/>
      <c r="L27" s="202"/>
      <c r="M27" s="203"/>
      <c r="R27" s="199" t="s">
        <v>83</v>
      </c>
      <c r="S27" s="200">
        <v>0.0</v>
      </c>
      <c r="T27" s="201"/>
      <c r="U27" s="202"/>
      <c r="V27" s="203"/>
      <c r="Y27" s="187" t="s">
        <v>101</v>
      </c>
      <c r="Z27" s="194">
        <v>0.025</v>
      </c>
      <c r="AA27" s="194">
        <v>0.138</v>
      </c>
      <c r="AB27" s="194">
        <v>0.024</v>
      </c>
    </row>
    <row r="28">
      <c r="A28" s="181" t="s">
        <v>96</v>
      </c>
      <c r="B28" s="182">
        <v>0.025</v>
      </c>
      <c r="C28" s="182">
        <v>0.085</v>
      </c>
      <c r="D28" s="182">
        <v>0.0124</v>
      </c>
      <c r="Y28" s="187" t="s">
        <v>102</v>
      </c>
      <c r="Z28" s="194">
        <v>0.025</v>
      </c>
      <c r="AA28" s="194">
        <v>0.0625</v>
      </c>
      <c r="AB28" s="194">
        <v>0.0249</v>
      </c>
    </row>
    <row r="29">
      <c r="A29" s="181" t="s">
        <v>103</v>
      </c>
      <c r="B29" s="182">
        <v>0.025</v>
      </c>
      <c r="C29" s="182">
        <v>0.138</v>
      </c>
      <c r="D29" s="182">
        <v>0.024</v>
      </c>
      <c r="E29" s="183"/>
      <c r="F29" s="183"/>
      <c r="G29" s="183"/>
      <c r="H29" s="183"/>
      <c r="I29" s="184" t="s">
        <v>93</v>
      </c>
      <c r="J29" s="185"/>
      <c r="K29" s="185"/>
      <c r="L29" s="185"/>
      <c r="M29" s="186"/>
      <c r="R29" s="184" t="s">
        <v>104</v>
      </c>
      <c r="S29" s="185"/>
      <c r="T29" s="185"/>
      <c r="U29" s="185"/>
      <c r="V29" s="186"/>
      <c r="Y29" s="187" t="s">
        <v>96</v>
      </c>
      <c r="Z29" s="194">
        <v>0.025</v>
      </c>
      <c r="AA29" s="194">
        <v>0.085</v>
      </c>
      <c r="AB29" s="194">
        <v>0.0124</v>
      </c>
    </row>
    <row r="30">
      <c r="A30" s="181" t="s">
        <v>105</v>
      </c>
      <c r="B30" s="182">
        <v>0.025</v>
      </c>
      <c r="C30" s="182">
        <v>0.079</v>
      </c>
      <c r="D30" s="182">
        <v>0.0239</v>
      </c>
      <c r="E30" s="188"/>
      <c r="F30" s="188"/>
      <c r="G30" s="188"/>
      <c r="H30" s="188"/>
      <c r="I30" s="189" t="s">
        <v>61</v>
      </c>
      <c r="J30" s="190">
        <v>0.0</v>
      </c>
      <c r="K30" s="191" t="s">
        <v>25</v>
      </c>
      <c r="L30" s="192">
        <v>60.0</v>
      </c>
      <c r="M30" s="193" t="s">
        <v>26</v>
      </c>
      <c r="R30" s="189" t="s">
        <v>61</v>
      </c>
      <c r="S30" s="190">
        <v>0.025</v>
      </c>
      <c r="T30" s="191" t="s">
        <v>25</v>
      </c>
      <c r="U30" s="192">
        <v>60.0</v>
      </c>
      <c r="V30" s="193" t="s">
        <v>26</v>
      </c>
      <c r="Y30" s="187" t="s">
        <v>103</v>
      </c>
      <c r="Z30" s="194">
        <v>0.025</v>
      </c>
      <c r="AA30" s="194">
        <v>0.138</v>
      </c>
      <c r="AB30" s="194">
        <v>0.024</v>
      </c>
    </row>
    <row r="31">
      <c r="A31" s="181" t="s">
        <v>106</v>
      </c>
      <c r="B31" s="182">
        <v>0.025</v>
      </c>
      <c r="C31" s="182">
        <v>0.062</v>
      </c>
      <c r="D31" s="182">
        <v>0.0081</v>
      </c>
      <c r="E31" s="188"/>
      <c r="F31" s="188"/>
      <c r="G31" s="188"/>
      <c r="H31" s="188"/>
      <c r="I31" s="189" t="s">
        <v>69</v>
      </c>
      <c r="J31" s="190">
        <v>0.04</v>
      </c>
      <c r="K31" s="191" t="s">
        <v>70</v>
      </c>
      <c r="L31" s="192">
        <v>0.0</v>
      </c>
      <c r="M31" s="193" t="s">
        <v>71</v>
      </c>
      <c r="R31" s="189" t="s">
        <v>69</v>
      </c>
      <c r="S31" s="190">
        <v>0.12</v>
      </c>
      <c r="T31" s="191" t="s">
        <v>70</v>
      </c>
      <c r="U31" s="192">
        <v>0.0</v>
      </c>
      <c r="V31" s="193" t="s">
        <v>71</v>
      </c>
      <c r="Y31" s="187" t="s">
        <v>105</v>
      </c>
      <c r="Z31" s="194">
        <v>0.025</v>
      </c>
      <c r="AA31" s="194">
        <v>0.079</v>
      </c>
      <c r="AB31" s="194">
        <v>0.0239</v>
      </c>
    </row>
    <row r="32">
      <c r="A32" s="181" t="s">
        <v>107</v>
      </c>
      <c r="B32" s="182">
        <v>0.025</v>
      </c>
      <c r="C32" s="182">
        <v>0.096</v>
      </c>
      <c r="D32" s="182">
        <v>0.03</v>
      </c>
      <c r="E32" s="188"/>
      <c r="F32" s="188"/>
      <c r="G32" s="188"/>
      <c r="H32" s="188"/>
      <c r="I32" s="189" t="s">
        <v>73</v>
      </c>
      <c r="J32" s="190">
        <v>0.0</v>
      </c>
      <c r="K32" s="195" t="s">
        <v>74</v>
      </c>
      <c r="L32" s="192">
        <v>0.0</v>
      </c>
      <c r="M32" s="193" t="s">
        <v>48</v>
      </c>
      <c r="R32" s="189" t="s">
        <v>73</v>
      </c>
      <c r="S32" s="190">
        <v>0.0</v>
      </c>
      <c r="T32" s="195" t="s">
        <v>74</v>
      </c>
      <c r="U32" s="192">
        <v>0.0</v>
      </c>
      <c r="V32" s="193" t="s">
        <v>48</v>
      </c>
      <c r="Y32" s="187" t="s">
        <v>106</v>
      </c>
      <c r="Z32" s="194">
        <v>0.025</v>
      </c>
      <c r="AA32" s="194">
        <v>0.062</v>
      </c>
      <c r="AB32" s="194">
        <v>0.0081</v>
      </c>
    </row>
    <row r="33">
      <c r="A33" s="181" t="s">
        <v>108</v>
      </c>
      <c r="B33" s="182">
        <v>0.023</v>
      </c>
      <c r="C33" s="182">
        <v>0.01</v>
      </c>
      <c r="D33" s="182">
        <v>0.0122</v>
      </c>
      <c r="E33" s="188"/>
      <c r="F33" s="188"/>
      <c r="G33" s="188"/>
      <c r="H33" s="188"/>
      <c r="I33" s="189" t="s">
        <v>76</v>
      </c>
      <c r="J33" s="190">
        <v>0.0</v>
      </c>
      <c r="K33" s="191" t="s">
        <v>77</v>
      </c>
      <c r="L33" s="196">
        <v>0.0</v>
      </c>
      <c r="M33" s="193" t="s">
        <v>78</v>
      </c>
      <c r="R33" s="189" t="s">
        <v>76</v>
      </c>
      <c r="S33" s="190">
        <v>0.0</v>
      </c>
      <c r="T33" s="191" t="s">
        <v>77</v>
      </c>
      <c r="U33" s="196">
        <v>0.0</v>
      </c>
      <c r="V33" s="193" t="s">
        <v>78</v>
      </c>
      <c r="Y33" s="205" t="s">
        <v>107</v>
      </c>
      <c r="Z33" s="206">
        <v>0.025</v>
      </c>
      <c r="AA33" s="206">
        <v>0.096</v>
      </c>
      <c r="AB33" s="206">
        <v>0.03</v>
      </c>
    </row>
    <row r="34">
      <c r="A34" s="181" t="s">
        <v>109</v>
      </c>
      <c r="B34" s="182">
        <v>0.025</v>
      </c>
      <c r="C34" s="182">
        <v>0.076</v>
      </c>
      <c r="D34" s="182">
        <v>0.017</v>
      </c>
      <c r="E34" s="188"/>
      <c r="F34" s="188"/>
      <c r="G34" s="188"/>
      <c r="H34" s="188"/>
      <c r="I34" s="189" t="s">
        <v>67</v>
      </c>
      <c r="J34" s="190">
        <v>0.00369</v>
      </c>
      <c r="K34" s="191" t="s">
        <v>80</v>
      </c>
      <c r="L34" s="196">
        <v>0.0</v>
      </c>
      <c r="M34" s="193" t="s">
        <v>81</v>
      </c>
      <c r="R34" s="189" t="s">
        <v>67</v>
      </c>
      <c r="S34" s="190">
        <v>0.024</v>
      </c>
      <c r="T34" s="191" t="s">
        <v>80</v>
      </c>
      <c r="U34" s="196">
        <v>0.0</v>
      </c>
      <c r="V34" s="193" t="s">
        <v>81</v>
      </c>
      <c r="Y34" s="187" t="s">
        <v>108</v>
      </c>
      <c r="Z34" s="206">
        <v>0.023</v>
      </c>
      <c r="AA34" s="206">
        <v>0.01</v>
      </c>
      <c r="AB34" s="206">
        <v>0.0122</v>
      </c>
    </row>
    <row r="35">
      <c r="E35" s="188"/>
      <c r="F35" s="188"/>
      <c r="G35" s="188"/>
      <c r="H35" s="188"/>
      <c r="I35" s="199" t="s">
        <v>83</v>
      </c>
      <c r="J35" s="200">
        <v>0.0</v>
      </c>
      <c r="K35" s="201"/>
      <c r="L35" s="202"/>
      <c r="M35" s="203"/>
      <c r="R35" s="199" t="s">
        <v>83</v>
      </c>
      <c r="S35" s="200">
        <v>0.0</v>
      </c>
      <c r="T35" s="201"/>
      <c r="U35" s="202"/>
      <c r="V35" s="203"/>
      <c r="Y35" s="187" t="s">
        <v>109</v>
      </c>
      <c r="Z35" s="194">
        <v>0.025</v>
      </c>
      <c r="AA35" s="194">
        <v>0.076</v>
      </c>
      <c r="AB35" s="194">
        <v>0.017</v>
      </c>
    </row>
    <row r="37">
      <c r="A37" s="183"/>
      <c r="B37" s="183"/>
      <c r="C37" s="183"/>
      <c r="D37" s="183"/>
      <c r="E37" s="183"/>
      <c r="F37" s="183"/>
      <c r="G37" s="183"/>
      <c r="H37" s="183"/>
      <c r="I37" s="184" t="s">
        <v>84</v>
      </c>
      <c r="J37" s="185"/>
      <c r="K37" s="185"/>
      <c r="L37" s="185"/>
      <c r="M37" s="186"/>
      <c r="R37" s="184" t="s">
        <v>110</v>
      </c>
      <c r="S37" s="185"/>
      <c r="T37" s="185"/>
      <c r="U37" s="185"/>
      <c r="V37" s="186"/>
      <c r="W37" s="19" t="s">
        <v>111</v>
      </c>
    </row>
    <row r="38">
      <c r="A38" s="188"/>
      <c r="B38" s="188"/>
      <c r="C38" s="188"/>
      <c r="D38" s="188"/>
      <c r="E38" s="188"/>
      <c r="F38" s="188"/>
      <c r="G38" s="188"/>
      <c r="H38" s="188"/>
      <c r="I38" s="189" t="s">
        <v>61</v>
      </c>
      <c r="J38" s="190">
        <v>0.0</v>
      </c>
      <c r="K38" s="191" t="s">
        <v>25</v>
      </c>
      <c r="L38" s="192">
        <v>60.0</v>
      </c>
      <c r="M38" s="193" t="s">
        <v>26</v>
      </c>
      <c r="R38" s="189" t="s">
        <v>61</v>
      </c>
      <c r="S38" s="190">
        <v>0.025</v>
      </c>
      <c r="T38" s="191" t="s">
        <v>25</v>
      </c>
      <c r="U38" s="192">
        <v>60.0</v>
      </c>
      <c r="V38" s="193" t="s">
        <v>26</v>
      </c>
    </row>
    <row r="39">
      <c r="A39" s="188"/>
      <c r="B39" s="188"/>
      <c r="C39" s="188"/>
      <c r="D39" s="188"/>
      <c r="E39" s="188"/>
      <c r="F39" s="188"/>
      <c r="G39" s="188"/>
      <c r="H39" s="188"/>
      <c r="I39" s="189" t="s">
        <v>69</v>
      </c>
      <c r="J39" s="190">
        <v>0.025</v>
      </c>
      <c r="K39" s="191" t="s">
        <v>70</v>
      </c>
      <c r="L39" s="192">
        <v>0.0</v>
      </c>
      <c r="M39" s="193" t="s">
        <v>71</v>
      </c>
      <c r="R39" s="189" t="s">
        <v>69</v>
      </c>
      <c r="S39" s="190">
        <v>0.075</v>
      </c>
      <c r="T39" s="191" t="s">
        <v>70</v>
      </c>
      <c r="U39" s="192">
        <v>0.0</v>
      </c>
      <c r="V39" s="193" t="s">
        <v>71</v>
      </c>
    </row>
    <row r="40">
      <c r="A40" s="188"/>
      <c r="B40" s="188"/>
      <c r="C40" s="188"/>
      <c r="D40" s="188"/>
      <c r="E40" s="188"/>
      <c r="F40" s="188"/>
      <c r="G40" s="188"/>
      <c r="H40" s="188"/>
      <c r="I40" s="189" t="s">
        <v>73</v>
      </c>
      <c r="J40" s="190">
        <v>0.0</v>
      </c>
      <c r="K40" s="195" t="s">
        <v>74</v>
      </c>
      <c r="L40" s="192">
        <v>0.0</v>
      </c>
      <c r="M40" s="193" t="s">
        <v>48</v>
      </c>
      <c r="R40" s="189" t="s">
        <v>73</v>
      </c>
      <c r="S40" s="190">
        <v>0.0</v>
      </c>
      <c r="T40" s="195" t="s">
        <v>74</v>
      </c>
      <c r="U40" s="192">
        <v>0.0</v>
      </c>
      <c r="V40" s="193" t="s">
        <v>48</v>
      </c>
    </row>
    <row r="41">
      <c r="A41" s="188"/>
      <c r="B41" s="188"/>
      <c r="C41" s="188"/>
      <c r="D41" s="188"/>
      <c r="E41" s="188"/>
      <c r="F41" s="188"/>
      <c r="G41" s="188"/>
      <c r="H41" s="188"/>
      <c r="I41" s="189" t="s">
        <v>76</v>
      </c>
      <c r="J41" s="190">
        <v>0.0</v>
      </c>
      <c r="K41" s="191" t="s">
        <v>77</v>
      </c>
      <c r="L41" s="196">
        <v>0.0</v>
      </c>
      <c r="M41" s="193" t="s">
        <v>78</v>
      </c>
      <c r="R41" s="189" t="s">
        <v>76</v>
      </c>
      <c r="S41" s="190">
        <v>0.0</v>
      </c>
      <c r="T41" s="191" t="s">
        <v>77</v>
      </c>
      <c r="U41" s="196">
        <v>0.0</v>
      </c>
      <c r="V41" s="193" t="s">
        <v>78</v>
      </c>
    </row>
    <row r="42">
      <c r="A42" s="207" t="s">
        <v>57</v>
      </c>
      <c r="B42" s="188"/>
      <c r="C42" s="188"/>
      <c r="D42" s="188"/>
      <c r="E42" s="188"/>
      <c r="F42" s="188"/>
      <c r="G42" s="188"/>
      <c r="H42" s="188"/>
      <c r="I42" s="189" t="s">
        <v>67</v>
      </c>
      <c r="J42" s="190">
        <v>0.00927</v>
      </c>
      <c r="K42" s="191" t="s">
        <v>80</v>
      </c>
      <c r="L42" s="196">
        <v>0.0</v>
      </c>
      <c r="M42" s="193" t="s">
        <v>81</v>
      </c>
      <c r="R42" s="189" t="s">
        <v>67</v>
      </c>
      <c r="S42" s="190">
        <v>0.005</v>
      </c>
      <c r="T42" s="191" t="s">
        <v>80</v>
      </c>
      <c r="U42" s="196">
        <v>0.0</v>
      </c>
      <c r="V42" s="193" t="s">
        <v>81</v>
      </c>
    </row>
    <row r="43">
      <c r="A43" s="1" t="s">
        <v>112</v>
      </c>
      <c r="B43" s="208" t="s">
        <v>58</v>
      </c>
      <c r="C43" s="208" t="s">
        <v>59</v>
      </c>
      <c r="D43" s="208" t="s">
        <v>60</v>
      </c>
      <c r="E43" s="188"/>
      <c r="F43" s="188"/>
      <c r="G43" s="188"/>
      <c r="H43" s="188"/>
      <c r="I43" s="199" t="s">
        <v>83</v>
      </c>
      <c r="J43" s="200">
        <v>0.0</v>
      </c>
      <c r="K43" s="201"/>
      <c r="L43" s="202"/>
      <c r="M43" s="203"/>
      <c r="R43" s="199" t="s">
        <v>83</v>
      </c>
      <c r="S43" s="200">
        <v>0.0</v>
      </c>
      <c r="T43" s="201"/>
      <c r="U43" s="202"/>
      <c r="V43" s="203"/>
    </row>
    <row r="44">
      <c r="A44" s="19" t="s">
        <v>113</v>
      </c>
    </row>
    <row r="45">
      <c r="A45" s="19" t="s">
        <v>114</v>
      </c>
      <c r="B45" s="183"/>
      <c r="C45" s="183"/>
      <c r="D45" s="183"/>
      <c r="E45" s="183"/>
      <c r="F45" s="183"/>
      <c r="G45" s="183"/>
      <c r="H45" s="183"/>
      <c r="I45" s="184" t="s">
        <v>115</v>
      </c>
      <c r="J45" s="185"/>
      <c r="K45" s="185"/>
      <c r="L45" s="185"/>
      <c r="M45" s="186"/>
      <c r="R45" s="184" t="s">
        <v>116</v>
      </c>
      <c r="S45" s="185"/>
      <c r="T45" s="185"/>
      <c r="U45" s="185"/>
      <c r="V45" s="186"/>
      <c r="W45" s="19" t="s">
        <v>117</v>
      </c>
    </row>
    <row r="46">
      <c r="A46" s="188" t="s">
        <v>118</v>
      </c>
      <c r="B46" s="188"/>
      <c r="C46" s="188"/>
      <c r="D46" s="188"/>
      <c r="E46" s="188"/>
      <c r="F46" s="188"/>
      <c r="G46" s="188"/>
      <c r="H46" s="188"/>
      <c r="I46" s="189" t="s">
        <v>61</v>
      </c>
      <c r="J46" s="190">
        <v>0.0</v>
      </c>
      <c r="K46" s="191" t="s">
        <v>25</v>
      </c>
      <c r="L46" s="192">
        <v>60.0</v>
      </c>
      <c r="M46" s="193" t="s">
        <v>26</v>
      </c>
      <c r="R46" s="189" t="s">
        <v>61</v>
      </c>
      <c r="S46" s="190">
        <v>0.023</v>
      </c>
      <c r="T46" s="191" t="s">
        <v>25</v>
      </c>
      <c r="U46" s="192">
        <v>60.0</v>
      </c>
      <c r="V46" s="193" t="s">
        <v>26</v>
      </c>
    </row>
    <row r="47">
      <c r="A47" s="188"/>
      <c r="B47" s="188"/>
      <c r="C47" s="188"/>
      <c r="D47" s="188"/>
      <c r="E47" s="188"/>
      <c r="F47" s="188"/>
      <c r="G47" s="188"/>
      <c r="H47" s="188"/>
      <c r="I47" s="189" t="s">
        <v>69</v>
      </c>
      <c r="J47" s="190">
        <v>0.0</v>
      </c>
      <c r="K47" s="191" t="s">
        <v>70</v>
      </c>
      <c r="L47" s="192">
        <v>0.0</v>
      </c>
      <c r="M47" s="193" t="s">
        <v>71</v>
      </c>
      <c r="R47" s="189" t="s">
        <v>69</v>
      </c>
      <c r="S47" s="190">
        <v>0.015</v>
      </c>
      <c r="T47" s="191" t="s">
        <v>70</v>
      </c>
      <c r="U47" s="192">
        <v>0.0</v>
      </c>
      <c r="V47" s="193" t="s">
        <v>71</v>
      </c>
    </row>
    <row r="48">
      <c r="A48" s="188"/>
      <c r="B48" s="188"/>
      <c r="C48" s="188"/>
      <c r="D48" s="188"/>
      <c r="E48" s="188"/>
      <c r="F48" s="188"/>
      <c r="G48" s="188"/>
      <c r="H48" s="188"/>
      <c r="I48" s="189" t="s">
        <v>73</v>
      </c>
      <c r="J48" s="190">
        <v>0.0</v>
      </c>
      <c r="K48" s="195" t="s">
        <v>74</v>
      </c>
      <c r="L48" s="192">
        <v>0.0</v>
      </c>
      <c r="M48" s="193" t="s">
        <v>48</v>
      </c>
      <c r="R48" s="189" t="s">
        <v>73</v>
      </c>
      <c r="S48" s="190">
        <v>0.0</v>
      </c>
      <c r="T48" s="195" t="s">
        <v>74</v>
      </c>
      <c r="U48" s="192">
        <v>0.0</v>
      </c>
      <c r="V48" s="193" t="s">
        <v>48</v>
      </c>
    </row>
    <row r="49">
      <c r="A49" s="188"/>
      <c r="B49" s="188"/>
      <c r="C49" s="188"/>
      <c r="D49" s="188"/>
      <c r="E49" s="188"/>
      <c r="F49" s="188"/>
      <c r="G49" s="188"/>
      <c r="H49" s="188"/>
      <c r="I49" s="189" t="s">
        <v>76</v>
      </c>
      <c r="J49" s="190">
        <v>0.0</v>
      </c>
      <c r="K49" s="191" t="s">
        <v>77</v>
      </c>
      <c r="L49" s="196">
        <v>0.0</v>
      </c>
      <c r="M49" s="193" t="s">
        <v>78</v>
      </c>
      <c r="R49" s="189" t="s">
        <v>76</v>
      </c>
      <c r="S49" s="190">
        <v>0.0</v>
      </c>
      <c r="T49" s="191" t="s">
        <v>77</v>
      </c>
      <c r="U49" s="196">
        <v>0.0</v>
      </c>
      <c r="V49" s="193" t="s">
        <v>78</v>
      </c>
    </row>
    <row r="50">
      <c r="A50" s="188"/>
      <c r="B50" s="188"/>
      <c r="C50" s="188"/>
      <c r="D50" s="188"/>
      <c r="E50" s="188"/>
      <c r="F50" s="188"/>
      <c r="G50" s="188"/>
      <c r="H50" s="188"/>
      <c r="I50" s="189" t="s">
        <v>67</v>
      </c>
      <c r="J50" s="190">
        <v>0.0097</v>
      </c>
      <c r="K50" s="191" t="s">
        <v>80</v>
      </c>
      <c r="L50" s="196">
        <v>0.0</v>
      </c>
      <c r="M50" s="193" t="s">
        <v>81</v>
      </c>
      <c r="N50" s="19" t="s">
        <v>119</v>
      </c>
      <c r="R50" s="189" t="s">
        <v>67</v>
      </c>
      <c r="S50" s="190">
        <v>0.004</v>
      </c>
      <c r="T50" s="191" t="s">
        <v>80</v>
      </c>
      <c r="U50" s="196">
        <v>0.0</v>
      </c>
      <c r="V50" s="193" t="s">
        <v>81</v>
      </c>
    </row>
    <row r="51">
      <c r="A51" s="188"/>
      <c r="B51" s="188"/>
      <c r="C51" s="188"/>
      <c r="D51" s="188"/>
      <c r="E51" s="188"/>
      <c r="F51" s="188"/>
      <c r="G51" s="188"/>
      <c r="H51" s="188"/>
      <c r="I51" s="199" t="s">
        <v>83</v>
      </c>
      <c r="J51" s="200">
        <v>0.0</v>
      </c>
      <c r="K51" s="201"/>
      <c r="L51" s="202"/>
      <c r="M51" s="203"/>
      <c r="R51" s="199" t="s">
        <v>83</v>
      </c>
      <c r="S51" s="200">
        <v>0.0</v>
      </c>
      <c r="T51" s="201"/>
      <c r="U51" s="202"/>
      <c r="V51" s="203"/>
    </row>
    <row r="53">
      <c r="R53" s="184" t="s">
        <v>120</v>
      </c>
      <c r="S53" s="185"/>
      <c r="T53" s="185"/>
      <c r="U53" s="185"/>
      <c r="V53" s="186"/>
    </row>
    <row r="54">
      <c r="R54" s="189" t="s">
        <v>61</v>
      </c>
      <c r="S54" s="190">
        <v>0.023</v>
      </c>
      <c r="T54" s="191" t="s">
        <v>25</v>
      </c>
      <c r="U54" s="192">
        <v>60.0</v>
      </c>
      <c r="V54" s="193" t="s">
        <v>26</v>
      </c>
    </row>
    <row r="55">
      <c r="R55" s="189" t="s">
        <v>69</v>
      </c>
      <c r="S55" s="190">
        <v>0.01</v>
      </c>
      <c r="T55" s="191" t="s">
        <v>70</v>
      </c>
      <c r="U55" s="192">
        <v>0.0</v>
      </c>
      <c r="V55" s="193" t="s">
        <v>71</v>
      </c>
    </row>
    <row r="56">
      <c r="R56" s="189" t="s">
        <v>73</v>
      </c>
      <c r="S56" s="190">
        <v>0.0</v>
      </c>
      <c r="T56" s="195" t="s">
        <v>74</v>
      </c>
      <c r="U56" s="192">
        <v>0.0</v>
      </c>
      <c r="V56" s="193" t="s">
        <v>48</v>
      </c>
    </row>
    <row r="57">
      <c r="R57" s="189" t="s">
        <v>76</v>
      </c>
      <c r="S57" s="190">
        <v>0.0</v>
      </c>
      <c r="T57" s="191" t="s">
        <v>77</v>
      </c>
      <c r="U57" s="196">
        <v>0.0</v>
      </c>
      <c r="V57" s="193" t="s">
        <v>78</v>
      </c>
    </row>
    <row r="58">
      <c r="R58" s="189" t="s">
        <v>67</v>
      </c>
      <c r="S58" s="190">
        <v>0.004</v>
      </c>
      <c r="T58" s="191" t="s">
        <v>80</v>
      </c>
      <c r="U58" s="196">
        <v>0.0</v>
      </c>
      <c r="V58" s="193" t="s">
        <v>81</v>
      </c>
    </row>
    <row r="59">
      <c r="A59" s="19"/>
      <c r="B59" s="19"/>
      <c r="C59" s="19"/>
      <c r="D59" s="19"/>
      <c r="E59" s="19"/>
      <c r="F59" s="19"/>
      <c r="G59" s="19"/>
      <c r="H59" s="19"/>
      <c r="I59" s="19" t="s">
        <v>121</v>
      </c>
      <c r="R59" s="199" t="s">
        <v>83</v>
      </c>
      <c r="S59" s="200">
        <v>0.0</v>
      </c>
      <c r="T59" s="201"/>
      <c r="U59" s="202"/>
      <c r="V59" s="203"/>
    </row>
    <row r="60">
      <c r="A60" s="19"/>
      <c r="B60" s="19"/>
      <c r="C60" s="19"/>
      <c r="D60" s="19"/>
      <c r="E60" s="19"/>
      <c r="F60" s="19"/>
      <c r="G60" s="19"/>
      <c r="H60" s="19"/>
      <c r="R60" s="19"/>
      <c r="S60" s="19"/>
      <c r="T60" s="19"/>
      <c r="U60" s="19"/>
      <c r="V60" s="19"/>
    </row>
    <row r="61">
      <c r="A61" s="183"/>
      <c r="B61" s="183"/>
      <c r="C61" s="183"/>
      <c r="D61" s="183"/>
      <c r="E61" s="183"/>
      <c r="F61" s="183"/>
      <c r="G61" s="183"/>
      <c r="H61" s="183"/>
      <c r="I61" s="184" t="s">
        <v>64</v>
      </c>
      <c r="J61" s="185"/>
      <c r="K61" s="185"/>
      <c r="L61" s="185"/>
      <c r="M61" s="186"/>
      <c r="R61" s="184" t="s">
        <v>122</v>
      </c>
      <c r="S61" s="185"/>
      <c r="T61" s="185"/>
      <c r="U61" s="185"/>
      <c r="V61" s="186"/>
    </row>
    <row r="62">
      <c r="A62" s="188"/>
      <c r="B62" s="188"/>
      <c r="C62" s="188"/>
      <c r="D62" s="188"/>
      <c r="E62" s="188"/>
      <c r="F62" s="188"/>
      <c r="G62" s="188"/>
      <c r="H62" s="188"/>
      <c r="I62" s="189" t="s">
        <v>61</v>
      </c>
      <c r="J62" s="190">
        <v>0.006</v>
      </c>
      <c r="K62" s="191" t="s">
        <v>25</v>
      </c>
      <c r="L62" s="192">
        <v>98.0</v>
      </c>
      <c r="M62" s="193" t="s">
        <v>26</v>
      </c>
      <c r="R62" s="189" t="s">
        <v>61</v>
      </c>
      <c r="S62" s="190">
        <v>0.025</v>
      </c>
      <c r="T62" s="191" t="s">
        <v>25</v>
      </c>
      <c r="U62" s="192">
        <v>98.0</v>
      </c>
      <c r="V62" s="193" t="s">
        <v>26</v>
      </c>
    </row>
    <row r="63">
      <c r="A63" s="188"/>
      <c r="B63" s="188"/>
      <c r="C63" s="188"/>
      <c r="D63" s="188"/>
      <c r="E63" s="188"/>
      <c r="F63" s="188"/>
      <c r="G63" s="188"/>
      <c r="H63" s="188"/>
      <c r="I63" s="189" t="s">
        <v>69</v>
      </c>
      <c r="J63" s="190">
        <v>0.0175</v>
      </c>
      <c r="K63" s="191" t="s">
        <v>70</v>
      </c>
      <c r="L63" s="192">
        <v>0.0</v>
      </c>
      <c r="M63" s="193" t="s">
        <v>71</v>
      </c>
      <c r="R63" s="189" t="s">
        <v>69</v>
      </c>
      <c r="S63" s="190">
        <v>0.065</v>
      </c>
      <c r="T63" s="191" t="s">
        <v>70</v>
      </c>
      <c r="U63" s="192">
        <v>0.0</v>
      </c>
      <c r="V63" s="193" t="s">
        <v>71</v>
      </c>
    </row>
    <row r="64">
      <c r="A64" s="188"/>
      <c r="B64" s="188"/>
      <c r="C64" s="188"/>
      <c r="D64" s="188"/>
      <c r="E64" s="188"/>
      <c r="F64" s="188"/>
      <c r="G64" s="188"/>
      <c r="H64" s="188"/>
      <c r="I64" s="189" t="s">
        <v>73</v>
      </c>
      <c r="J64" s="190">
        <v>0.0</v>
      </c>
      <c r="K64" s="195" t="s">
        <v>74</v>
      </c>
      <c r="L64" s="192">
        <v>0.0</v>
      </c>
      <c r="M64" s="193" t="s">
        <v>48</v>
      </c>
      <c r="R64" s="189" t="s">
        <v>73</v>
      </c>
      <c r="S64" s="190">
        <v>0.0</v>
      </c>
      <c r="T64" s="195" t="s">
        <v>74</v>
      </c>
      <c r="U64" s="192">
        <v>0.0</v>
      </c>
      <c r="V64" s="193" t="s">
        <v>48</v>
      </c>
    </row>
    <row r="65">
      <c r="A65" s="188"/>
      <c r="B65" s="188"/>
      <c r="C65" s="188"/>
      <c r="D65" s="188"/>
      <c r="E65" s="188"/>
      <c r="F65" s="188"/>
      <c r="G65" s="188"/>
      <c r="H65" s="188"/>
      <c r="I65" s="189" t="s">
        <v>76</v>
      </c>
      <c r="J65" s="190">
        <v>0.0</v>
      </c>
      <c r="K65" s="191" t="s">
        <v>77</v>
      </c>
      <c r="L65" s="196">
        <v>0.0</v>
      </c>
      <c r="M65" s="193" t="s">
        <v>78</v>
      </c>
      <c r="R65" s="189" t="s">
        <v>76</v>
      </c>
      <c r="S65" s="190">
        <v>0.0</v>
      </c>
      <c r="T65" s="191" t="s">
        <v>77</v>
      </c>
      <c r="U65" s="196">
        <v>0.0</v>
      </c>
      <c r="V65" s="193" t="s">
        <v>78</v>
      </c>
    </row>
    <row r="66">
      <c r="A66" s="188"/>
      <c r="B66" s="188"/>
      <c r="C66" s="188"/>
      <c r="D66" s="188"/>
      <c r="E66" s="188"/>
      <c r="F66" s="188"/>
      <c r="G66" s="188"/>
      <c r="H66" s="188"/>
      <c r="I66" s="189" t="s">
        <v>67</v>
      </c>
      <c r="J66" s="190">
        <v>0.0067</v>
      </c>
      <c r="K66" s="191" t="s">
        <v>80</v>
      </c>
      <c r="L66" s="196">
        <v>0.0</v>
      </c>
      <c r="M66" s="193" t="s">
        <v>81</v>
      </c>
      <c r="R66" s="189" t="s">
        <v>67</v>
      </c>
      <c r="S66" s="190">
        <v>0.0219</v>
      </c>
      <c r="T66" s="191" t="s">
        <v>80</v>
      </c>
      <c r="U66" s="196">
        <v>0.0</v>
      </c>
      <c r="V66" s="193" t="s">
        <v>81</v>
      </c>
    </row>
    <row r="67">
      <c r="A67" s="188"/>
      <c r="B67" s="188"/>
      <c r="C67" s="188"/>
      <c r="D67" s="188"/>
      <c r="E67" s="188"/>
      <c r="F67" s="188"/>
      <c r="G67" s="188"/>
      <c r="H67" s="188"/>
      <c r="I67" s="199" t="s">
        <v>83</v>
      </c>
      <c r="J67" s="200">
        <v>0.0</v>
      </c>
      <c r="K67" s="201"/>
      <c r="L67" s="202"/>
      <c r="M67" s="203"/>
      <c r="R67" s="199" t="s">
        <v>83</v>
      </c>
      <c r="S67" s="200">
        <v>0.0</v>
      </c>
      <c r="T67" s="201"/>
      <c r="U67" s="202"/>
      <c r="V67" s="203"/>
    </row>
    <row r="70">
      <c r="A70" s="183"/>
      <c r="B70" s="183"/>
      <c r="C70" s="183"/>
      <c r="D70" s="183"/>
      <c r="E70" s="183"/>
      <c r="F70" s="183"/>
      <c r="G70" s="183"/>
      <c r="H70" s="183"/>
      <c r="I70" s="184" t="s">
        <v>68</v>
      </c>
      <c r="J70" s="185"/>
      <c r="K70" s="185"/>
      <c r="L70" s="185"/>
      <c r="M70" s="186"/>
      <c r="R70" s="184" t="s">
        <v>123</v>
      </c>
      <c r="S70" s="185"/>
      <c r="T70" s="185"/>
      <c r="U70" s="185"/>
      <c r="V70" s="186"/>
    </row>
    <row r="71">
      <c r="A71" s="188"/>
      <c r="B71" s="188"/>
      <c r="C71" s="188"/>
      <c r="D71" s="188"/>
      <c r="E71" s="188"/>
      <c r="F71" s="188"/>
      <c r="G71" s="188"/>
      <c r="H71" s="188"/>
      <c r="I71" s="189" t="s">
        <v>61</v>
      </c>
      <c r="J71" s="190">
        <v>0.0</v>
      </c>
      <c r="K71" s="191" t="s">
        <v>25</v>
      </c>
      <c r="L71" s="192">
        <v>60.0</v>
      </c>
      <c r="M71" s="193" t="s">
        <v>26</v>
      </c>
      <c r="R71" s="189" t="s">
        <v>61</v>
      </c>
      <c r="S71" s="190">
        <v>0.025</v>
      </c>
      <c r="T71" s="191" t="s">
        <v>25</v>
      </c>
      <c r="U71" s="192">
        <v>60.0</v>
      </c>
      <c r="V71" s="193" t="s">
        <v>26</v>
      </c>
    </row>
    <row r="72">
      <c r="A72" s="188"/>
      <c r="B72" s="188"/>
      <c r="C72" s="188"/>
      <c r="D72" s="188"/>
      <c r="E72" s="188"/>
      <c r="F72" s="188"/>
      <c r="G72" s="188"/>
      <c r="H72" s="188"/>
      <c r="I72" s="189" t="s">
        <v>69</v>
      </c>
      <c r="J72" s="190">
        <v>0.04</v>
      </c>
      <c r="K72" s="191" t="s">
        <v>70</v>
      </c>
      <c r="L72" s="192">
        <v>0.0</v>
      </c>
      <c r="M72" s="193" t="s">
        <v>71</v>
      </c>
      <c r="R72" s="189" t="s">
        <v>69</v>
      </c>
      <c r="S72" s="190">
        <v>0.1</v>
      </c>
      <c r="T72" s="191" t="s">
        <v>70</v>
      </c>
      <c r="U72" s="192">
        <v>0.0</v>
      </c>
      <c r="V72" s="193" t="s">
        <v>71</v>
      </c>
    </row>
    <row r="73">
      <c r="A73" s="188"/>
      <c r="B73" s="188"/>
      <c r="C73" s="188"/>
      <c r="D73" s="188"/>
      <c r="E73" s="188"/>
      <c r="F73" s="188"/>
      <c r="G73" s="188"/>
      <c r="H73" s="188"/>
      <c r="I73" s="189" t="s">
        <v>73</v>
      </c>
      <c r="J73" s="190">
        <v>0.0</v>
      </c>
      <c r="K73" s="195" t="s">
        <v>74</v>
      </c>
      <c r="L73" s="192">
        <v>0.0</v>
      </c>
      <c r="M73" s="193" t="s">
        <v>48</v>
      </c>
      <c r="R73" s="189" t="s">
        <v>73</v>
      </c>
      <c r="S73" s="190">
        <v>0.0</v>
      </c>
      <c r="T73" s="195" t="s">
        <v>74</v>
      </c>
      <c r="U73" s="192">
        <v>0.0</v>
      </c>
      <c r="V73" s="193" t="s">
        <v>48</v>
      </c>
    </row>
    <row r="74">
      <c r="A74" s="188"/>
      <c r="B74" s="188"/>
      <c r="C74" s="188"/>
      <c r="D74" s="188"/>
      <c r="E74" s="188"/>
      <c r="F74" s="188"/>
      <c r="G74" s="188"/>
      <c r="H74" s="188"/>
      <c r="I74" s="189" t="s">
        <v>76</v>
      </c>
      <c r="J74" s="190">
        <v>0.0</v>
      </c>
      <c r="K74" s="191" t="s">
        <v>77</v>
      </c>
      <c r="L74" s="196">
        <v>0.0</v>
      </c>
      <c r="M74" s="193" t="s">
        <v>78</v>
      </c>
      <c r="R74" s="189" t="s">
        <v>76</v>
      </c>
      <c r="S74" s="190">
        <v>0.0</v>
      </c>
      <c r="T74" s="191" t="s">
        <v>77</v>
      </c>
      <c r="U74" s="196">
        <v>0.0</v>
      </c>
      <c r="V74" s="193" t="s">
        <v>78</v>
      </c>
    </row>
    <row r="75">
      <c r="A75" s="188"/>
      <c r="B75" s="188"/>
      <c r="C75" s="188"/>
      <c r="D75" s="188"/>
      <c r="E75" s="188"/>
      <c r="F75" s="188"/>
      <c r="G75" s="188"/>
      <c r="H75" s="188"/>
      <c r="I75" s="189" t="s">
        <v>67</v>
      </c>
      <c r="J75" s="190">
        <v>0.00653</v>
      </c>
      <c r="K75" s="191" t="s">
        <v>80</v>
      </c>
      <c r="L75" s="196">
        <v>0.0</v>
      </c>
      <c r="M75" s="193" t="s">
        <v>81</v>
      </c>
      <c r="R75" s="189" t="s">
        <v>67</v>
      </c>
      <c r="S75" s="190">
        <v>0.01</v>
      </c>
      <c r="T75" s="191" t="s">
        <v>80</v>
      </c>
      <c r="U75" s="196">
        <v>0.0</v>
      </c>
      <c r="V75" s="193" t="s">
        <v>81</v>
      </c>
    </row>
    <row r="76">
      <c r="A76" s="188"/>
      <c r="B76" s="188"/>
      <c r="C76" s="188"/>
      <c r="D76" s="188"/>
      <c r="E76" s="188"/>
      <c r="F76" s="188"/>
      <c r="G76" s="188"/>
      <c r="H76" s="188"/>
      <c r="I76" s="199" t="s">
        <v>83</v>
      </c>
      <c r="J76" s="200">
        <v>0.0</v>
      </c>
      <c r="K76" s="201"/>
      <c r="L76" s="202"/>
      <c r="M76" s="203"/>
      <c r="R76" s="199" t="s">
        <v>83</v>
      </c>
      <c r="S76" s="200">
        <v>0.0</v>
      </c>
      <c r="T76" s="201"/>
      <c r="U76" s="202"/>
      <c r="V76" s="203"/>
    </row>
    <row r="79">
      <c r="A79" s="183"/>
      <c r="B79" s="183"/>
      <c r="C79" s="183"/>
      <c r="D79" s="183"/>
      <c r="E79" s="183"/>
      <c r="F79" s="183"/>
      <c r="G79" s="183"/>
      <c r="H79" s="183"/>
      <c r="I79" s="184" t="s">
        <v>96</v>
      </c>
      <c r="J79" s="185"/>
      <c r="K79" s="185"/>
      <c r="L79" s="185"/>
      <c r="M79" s="186"/>
      <c r="R79" s="184" t="s">
        <v>96</v>
      </c>
      <c r="S79" s="185"/>
      <c r="T79" s="185"/>
      <c r="U79" s="185"/>
      <c r="V79" s="186"/>
    </row>
    <row r="80">
      <c r="A80" s="188"/>
      <c r="B80" s="188"/>
      <c r="C80" s="188"/>
      <c r="D80" s="188"/>
      <c r="E80" s="188"/>
      <c r="F80" s="188"/>
      <c r="G80" s="188"/>
      <c r="H80" s="188"/>
      <c r="I80" s="189" t="s">
        <v>61</v>
      </c>
      <c r="J80" s="190">
        <v>0.0</v>
      </c>
      <c r="K80" s="191" t="s">
        <v>25</v>
      </c>
      <c r="L80" s="192">
        <v>60.0</v>
      </c>
      <c r="M80" s="193" t="s">
        <v>26</v>
      </c>
      <c r="R80" s="189" t="s">
        <v>61</v>
      </c>
      <c r="S80" s="190">
        <v>0.0</v>
      </c>
      <c r="T80" s="191" t="s">
        <v>25</v>
      </c>
      <c r="U80" s="192">
        <v>60.0</v>
      </c>
      <c r="V80" s="193" t="s">
        <v>26</v>
      </c>
    </row>
    <row r="81">
      <c r="A81" s="188"/>
      <c r="B81" s="188"/>
      <c r="C81" s="188"/>
      <c r="D81" s="188"/>
      <c r="E81" s="188"/>
      <c r="F81" s="188"/>
      <c r="G81" s="188"/>
      <c r="H81" s="188"/>
      <c r="I81" s="189" t="s">
        <v>69</v>
      </c>
      <c r="J81" s="190">
        <v>0.025</v>
      </c>
      <c r="K81" s="191" t="s">
        <v>70</v>
      </c>
      <c r="L81" s="192">
        <v>0.0</v>
      </c>
      <c r="M81" s="193" t="s">
        <v>71</v>
      </c>
      <c r="R81" s="189" t="s">
        <v>69</v>
      </c>
      <c r="S81" s="190">
        <v>0.025</v>
      </c>
      <c r="T81" s="191" t="s">
        <v>70</v>
      </c>
      <c r="U81" s="192">
        <v>0.0</v>
      </c>
      <c r="V81" s="193" t="s">
        <v>71</v>
      </c>
    </row>
    <row r="82">
      <c r="A82" s="188"/>
      <c r="B82" s="188"/>
      <c r="C82" s="188"/>
      <c r="D82" s="188"/>
      <c r="E82" s="188"/>
      <c r="F82" s="188"/>
      <c r="G82" s="188"/>
      <c r="H82" s="188"/>
      <c r="I82" s="189" t="s">
        <v>73</v>
      </c>
      <c r="J82" s="190">
        <v>0.0</v>
      </c>
      <c r="K82" s="195" t="s">
        <v>74</v>
      </c>
      <c r="L82" s="192">
        <v>0.0</v>
      </c>
      <c r="M82" s="193" t="s">
        <v>48</v>
      </c>
      <c r="R82" s="189" t="s">
        <v>73</v>
      </c>
      <c r="S82" s="190">
        <v>0.0</v>
      </c>
      <c r="T82" s="195" t="s">
        <v>74</v>
      </c>
      <c r="U82" s="192">
        <v>0.0</v>
      </c>
      <c r="V82" s="193" t="s">
        <v>48</v>
      </c>
    </row>
    <row r="83">
      <c r="A83" s="188"/>
      <c r="B83" s="188"/>
      <c r="C83" s="188"/>
      <c r="D83" s="188"/>
      <c r="E83" s="188"/>
      <c r="F83" s="188"/>
      <c r="G83" s="188"/>
      <c r="H83" s="188"/>
      <c r="I83" s="189" t="s">
        <v>76</v>
      </c>
      <c r="J83" s="190">
        <v>0.0</v>
      </c>
      <c r="K83" s="191" t="s">
        <v>77</v>
      </c>
      <c r="L83" s="196">
        <v>0.0</v>
      </c>
      <c r="M83" s="193" t="s">
        <v>78</v>
      </c>
      <c r="R83" s="189" t="s">
        <v>76</v>
      </c>
      <c r="S83" s="190">
        <v>0.0</v>
      </c>
      <c r="T83" s="191" t="s">
        <v>77</v>
      </c>
      <c r="U83" s="196">
        <v>0.0</v>
      </c>
      <c r="V83" s="193" t="s">
        <v>78</v>
      </c>
    </row>
    <row r="84">
      <c r="A84" s="188"/>
      <c r="B84" s="188"/>
      <c r="C84" s="188"/>
      <c r="D84" s="188"/>
      <c r="E84" s="188"/>
      <c r="F84" s="188"/>
      <c r="G84" s="188"/>
      <c r="H84" s="188"/>
      <c r="I84" s="189" t="s">
        <v>67</v>
      </c>
      <c r="J84" s="190">
        <v>0.0055</v>
      </c>
      <c r="K84" s="191" t="s">
        <v>80</v>
      </c>
      <c r="L84" s="196">
        <v>0.0</v>
      </c>
      <c r="M84" s="193" t="s">
        <v>81</v>
      </c>
      <c r="R84" s="189" t="s">
        <v>67</v>
      </c>
      <c r="S84" s="190">
        <v>0.0055</v>
      </c>
      <c r="T84" s="191" t="s">
        <v>80</v>
      </c>
      <c r="U84" s="196">
        <v>0.0</v>
      </c>
      <c r="V84" s="193" t="s">
        <v>81</v>
      </c>
    </row>
    <row r="85">
      <c r="A85" s="188"/>
      <c r="B85" s="188"/>
      <c r="C85" s="188"/>
      <c r="D85" s="188"/>
      <c r="E85" s="188"/>
      <c r="F85" s="188"/>
      <c r="G85" s="188"/>
      <c r="H85" s="188"/>
      <c r="I85" s="199" t="s">
        <v>83</v>
      </c>
      <c r="J85" s="200">
        <v>0.0</v>
      </c>
      <c r="K85" s="201"/>
      <c r="L85" s="202"/>
      <c r="M85" s="203"/>
      <c r="R85" s="199" t="s">
        <v>83</v>
      </c>
      <c r="S85" s="200">
        <v>0.0</v>
      </c>
      <c r="T85" s="201"/>
      <c r="U85" s="202"/>
      <c r="V85" s="203"/>
    </row>
    <row r="87">
      <c r="A87" s="183"/>
      <c r="B87" s="183"/>
      <c r="C87" s="183"/>
      <c r="D87" s="183"/>
      <c r="E87" s="183"/>
      <c r="F87" s="183"/>
      <c r="G87" s="183"/>
      <c r="H87" s="183"/>
      <c r="I87" s="184" t="s">
        <v>93</v>
      </c>
      <c r="J87" s="185"/>
      <c r="K87" s="185"/>
      <c r="L87" s="185"/>
      <c r="M87" s="186"/>
      <c r="R87" s="184" t="s">
        <v>93</v>
      </c>
      <c r="S87" s="185"/>
      <c r="T87" s="185"/>
      <c r="U87" s="185"/>
      <c r="V87" s="186"/>
    </row>
    <row r="88">
      <c r="A88" s="188"/>
      <c r="B88" s="188"/>
      <c r="C88" s="188"/>
      <c r="D88" s="188"/>
      <c r="E88" s="188"/>
      <c r="F88" s="188"/>
      <c r="G88" s="188"/>
      <c r="H88" s="188"/>
      <c r="I88" s="189" t="s">
        <v>61</v>
      </c>
      <c r="J88" s="190">
        <v>0.0</v>
      </c>
      <c r="K88" s="191" t="s">
        <v>25</v>
      </c>
      <c r="L88" s="192">
        <v>60.0</v>
      </c>
      <c r="M88" s="193" t="s">
        <v>26</v>
      </c>
      <c r="R88" s="189" t="s">
        <v>61</v>
      </c>
      <c r="S88" s="190">
        <v>0.0</v>
      </c>
      <c r="T88" s="191" t="s">
        <v>25</v>
      </c>
      <c r="U88" s="192">
        <v>60.0</v>
      </c>
      <c r="V88" s="193" t="s">
        <v>26</v>
      </c>
    </row>
    <row r="89">
      <c r="A89" s="188"/>
      <c r="B89" s="188"/>
      <c r="C89" s="188"/>
      <c r="D89" s="188"/>
      <c r="E89" s="188"/>
      <c r="F89" s="188"/>
      <c r="G89" s="188"/>
      <c r="H89" s="188"/>
      <c r="I89" s="189" t="s">
        <v>69</v>
      </c>
      <c r="J89" s="190">
        <v>0.04</v>
      </c>
      <c r="K89" s="191" t="s">
        <v>70</v>
      </c>
      <c r="L89" s="192">
        <v>0.0</v>
      </c>
      <c r="M89" s="193" t="s">
        <v>71</v>
      </c>
      <c r="R89" s="189" t="s">
        <v>69</v>
      </c>
      <c r="S89" s="190">
        <v>0.04</v>
      </c>
      <c r="T89" s="191" t="s">
        <v>70</v>
      </c>
      <c r="U89" s="192">
        <v>0.0</v>
      </c>
      <c r="V89" s="193" t="s">
        <v>71</v>
      </c>
    </row>
    <row r="90">
      <c r="A90" s="188"/>
      <c r="B90" s="188"/>
      <c r="C90" s="188"/>
      <c r="D90" s="188"/>
      <c r="E90" s="188"/>
      <c r="F90" s="188"/>
      <c r="G90" s="188"/>
      <c r="H90" s="188"/>
      <c r="I90" s="189" t="s">
        <v>73</v>
      </c>
      <c r="J90" s="190">
        <v>0.0</v>
      </c>
      <c r="K90" s="195" t="s">
        <v>74</v>
      </c>
      <c r="L90" s="192">
        <v>0.0</v>
      </c>
      <c r="M90" s="193" t="s">
        <v>48</v>
      </c>
      <c r="R90" s="189" t="s">
        <v>73</v>
      </c>
      <c r="S90" s="190">
        <v>0.0</v>
      </c>
      <c r="T90" s="195" t="s">
        <v>74</v>
      </c>
      <c r="U90" s="192">
        <v>0.0</v>
      </c>
      <c r="V90" s="193" t="s">
        <v>48</v>
      </c>
    </row>
    <row r="91">
      <c r="A91" s="188"/>
      <c r="B91" s="188"/>
      <c r="C91" s="188"/>
      <c r="D91" s="188"/>
      <c r="E91" s="188"/>
      <c r="F91" s="188"/>
      <c r="G91" s="188"/>
      <c r="H91" s="188"/>
      <c r="I91" s="189" t="s">
        <v>76</v>
      </c>
      <c r="J91" s="190">
        <v>0.0</v>
      </c>
      <c r="K91" s="191" t="s">
        <v>77</v>
      </c>
      <c r="L91" s="196">
        <v>0.0</v>
      </c>
      <c r="M91" s="193" t="s">
        <v>78</v>
      </c>
      <c r="R91" s="189" t="s">
        <v>76</v>
      </c>
      <c r="S91" s="190">
        <v>0.0</v>
      </c>
      <c r="T91" s="191" t="s">
        <v>77</v>
      </c>
      <c r="U91" s="196">
        <v>0.0</v>
      </c>
      <c r="V91" s="193" t="s">
        <v>78</v>
      </c>
    </row>
    <row r="92">
      <c r="A92" s="188"/>
      <c r="B92" s="188"/>
      <c r="C92" s="188"/>
      <c r="D92" s="188"/>
      <c r="E92" s="188"/>
      <c r="F92" s="188"/>
      <c r="G92" s="188"/>
      <c r="H92" s="188"/>
      <c r="I92" s="189" t="s">
        <v>67</v>
      </c>
      <c r="J92" s="190">
        <v>0.00369</v>
      </c>
      <c r="K92" s="191" t="s">
        <v>80</v>
      </c>
      <c r="L92" s="196">
        <v>0.0</v>
      </c>
      <c r="M92" s="193" t="s">
        <v>81</v>
      </c>
      <c r="R92" s="189" t="s">
        <v>67</v>
      </c>
      <c r="S92" s="190">
        <v>0.00369</v>
      </c>
      <c r="T92" s="191" t="s">
        <v>80</v>
      </c>
      <c r="U92" s="196">
        <v>0.0</v>
      </c>
      <c r="V92" s="193" t="s">
        <v>81</v>
      </c>
    </row>
    <row r="93">
      <c r="A93" s="188"/>
      <c r="B93" s="188"/>
      <c r="C93" s="188"/>
      <c r="D93" s="188"/>
      <c r="E93" s="188"/>
      <c r="F93" s="188"/>
      <c r="G93" s="188"/>
      <c r="H93" s="188"/>
      <c r="I93" s="199" t="s">
        <v>83</v>
      </c>
      <c r="J93" s="200">
        <v>0.0</v>
      </c>
      <c r="K93" s="201"/>
      <c r="L93" s="202"/>
      <c r="M93" s="203"/>
      <c r="R93" s="199" t="s">
        <v>83</v>
      </c>
      <c r="S93" s="200">
        <v>0.0</v>
      </c>
      <c r="T93" s="201"/>
      <c r="U93" s="202"/>
      <c r="V93" s="203"/>
    </row>
    <row r="95">
      <c r="A95" s="183"/>
      <c r="B95" s="183"/>
      <c r="C95" s="183"/>
      <c r="D95" s="183"/>
      <c r="E95" s="183"/>
      <c r="F95" s="183"/>
      <c r="G95" s="183"/>
      <c r="H95" s="183"/>
      <c r="I95" s="184" t="s">
        <v>84</v>
      </c>
      <c r="J95" s="185"/>
      <c r="K95" s="185"/>
      <c r="L95" s="185"/>
      <c r="M95" s="186"/>
      <c r="R95" s="184" t="s">
        <v>84</v>
      </c>
      <c r="S95" s="185"/>
      <c r="T95" s="185"/>
      <c r="U95" s="185"/>
      <c r="V95" s="186"/>
    </row>
    <row r="96">
      <c r="A96" s="188"/>
      <c r="B96" s="188"/>
      <c r="C96" s="188"/>
      <c r="D96" s="188"/>
      <c r="E96" s="188"/>
      <c r="F96" s="188"/>
      <c r="G96" s="188"/>
      <c r="H96" s="188"/>
      <c r="I96" s="189" t="s">
        <v>61</v>
      </c>
      <c r="J96" s="190">
        <v>0.0</v>
      </c>
      <c r="K96" s="191" t="s">
        <v>25</v>
      </c>
      <c r="L96" s="192">
        <v>60.0</v>
      </c>
      <c r="M96" s="193" t="s">
        <v>26</v>
      </c>
      <c r="R96" s="189" t="s">
        <v>61</v>
      </c>
      <c r="S96" s="190">
        <v>0.0</v>
      </c>
      <c r="T96" s="191" t="s">
        <v>25</v>
      </c>
      <c r="U96" s="192">
        <v>60.0</v>
      </c>
      <c r="V96" s="193" t="s">
        <v>26</v>
      </c>
    </row>
    <row r="97">
      <c r="A97" s="188"/>
      <c r="B97" s="188"/>
      <c r="C97" s="188"/>
      <c r="D97" s="188"/>
      <c r="E97" s="188"/>
      <c r="F97" s="188"/>
      <c r="G97" s="188"/>
      <c r="H97" s="188"/>
      <c r="I97" s="189" t="s">
        <v>69</v>
      </c>
      <c r="J97" s="190">
        <v>0.025</v>
      </c>
      <c r="K97" s="191" t="s">
        <v>70</v>
      </c>
      <c r="L97" s="192">
        <v>0.0</v>
      </c>
      <c r="M97" s="193" t="s">
        <v>71</v>
      </c>
      <c r="R97" s="189" t="s">
        <v>69</v>
      </c>
      <c r="S97" s="190">
        <v>0.025</v>
      </c>
      <c r="T97" s="191" t="s">
        <v>70</v>
      </c>
      <c r="U97" s="192">
        <v>0.0</v>
      </c>
      <c r="V97" s="193" t="s">
        <v>71</v>
      </c>
    </row>
    <row r="98">
      <c r="A98" s="188"/>
      <c r="B98" s="188"/>
      <c r="C98" s="188"/>
      <c r="D98" s="188"/>
      <c r="E98" s="188"/>
      <c r="F98" s="188"/>
      <c r="G98" s="188"/>
      <c r="H98" s="188"/>
      <c r="I98" s="189" t="s">
        <v>73</v>
      </c>
      <c r="J98" s="190">
        <v>0.0</v>
      </c>
      <c r="K98" s="195" t="s">
        <v>74</v>
      </c>
      <c r="L98" s="192">
        <v>0.0</v>
      </c>
      <c r="M98" s="193" t="s">
        <v>48</v>
      </c>
      <c r="R98" s="189" t="s">
        <v>73</v>
      </c>
      <c r="S98" s="190">
        <v>0.0</v>
      </c>
      <c r="T98" s="195" t="s">
        <v>74</v>
      </c>
      <c r="U98" s="192">
        <v>0.0</v>
      </c>
      <c r="V98" s="193" t="s">
        <v>48</v>
      </c>
    </row>
    <row r="99">
      <c r="A99" s="188"/>
      <c r="B99" s="188"/>
      <c r="C99" s="188"/>
      <c r="D99" s="188"/>
      <c r="E99" s="188"/>
      <c r="F99" s="188"/>
      <c r="G99" s="188"/>
      <c r="H99" s="188"/>
      <c r="I99" s="189" t="s">
        <v>76</v>
      </c>
      <c r="J99" s="190">
        <v>0.0</v>
      </c>
      <c r="K99" s="191" t="s">
        <v>77</v>
      </c>
      <c r="L99" s="196">
        <v>0.0</v>
      </c>
      <c r="M99" s="193" t="s">
        <v>78</v>
      </c>
      <c r="R99" s="189" t="s">
        <v>76</v>
      </c>
      <c r="S99" s="190">
        <v>0.0</v>
      </c>
      <c r="T99" s="191" t="s">
        <v>77</v>
      </c>
      <c r="U99" s="196">
        <v>0.0</v>
      </c>
      <c r="V99" s="193" t="s">
        <v>78</v>
      </c>
    </row>
    <row r="100">
      <c r="A100" s="188"/>
      <c r="B100" s="188"/>
      <c r="C100" s="188"/>
      <c r="D100" s="188"/>
      <c r="E100" s="188"/>
      <c r="F100" s="188"/>
      <c r="G100" s="188"/>
      <c r="H100" s="188"/>
      <c r="I100" s="189" t="s">
        <v>67</v>
      </c>
      <c r="J100" s="190">
        <v>0.00927</v>
      </c>
      <c r="K100" s="191" t="s">
        <v>80</v>
      </c>
      <c r="L100" s="196">
        <v>0.0</v>
      </c>
      <c r="M100" s="193" t="s">
        <v>81</v>
      </c>
      <c r="R100" s="189" t="s">
        <v>67</v>
      </c>
      <c r="S100" s="190">
        <v>0.00927</v>
      </c>
      <c r="T100" s="191" t="s">
        <v>80</v>
      </c>
      <c r="U100" s="196">
        <v>0.0</v>
      </c>
      <c r="V100" s="193" t="s">
        <v>81</v>
      </c>
    </row>
    <row r="101">
      <c r="A101" s="188"/>
      <c r="B101" s="188"/>
      <c r="C101" s="188"/>
      <c r="D101" s="188"/>
      <c r="E101" s="188"/>
      <c r="F101" s="188"/>
      <c r="G101" s="188"/>
      <c r="H101" s="188"/>
      <c r="I101" s="199" t="s">
        <v>83</v>
      </c>
      <c r="J101" s="200">
        <v>0.0</v>
      </c>
      <c r="K101" s="201"/>
      <c r="L101" s="202"/>
      <c r="M101" s="203"/>
      <c r="R101" s="199" t="s">
        <v>83</v>
      </c>
      <c r="S101" s="200">
        <v>0.0</v>
      </c>
      <c r="T101" s="201"/>
      <c r="U101" s="202"/>
      <c r="V101" s="203"/>
    </row>
    <row r="103">
      <c r="A103" s="183"/>
      <c r="B103" s="183"/>
      <c r="C103" s="183"/>
      <c r="D103" s="183"/>
      <c r="E103" s="183"/>
      <c r="F103" s="183"/>
      <c r="G103" s="183"/>
      <c r="H103" s="183"/>
      <c r="I103" s="184" t="s">
        <v>115</v>
      </c>
      <c r="J103" s="185"/>
      <c r="K103" s="185"/>
      <c r="L103" s="185"/>
      <c r="M103" s="186"/>
      <c r="R103" s="184" t="s">
        <v>109</v>
      </c>
      <c r="S103" s="185"/>
      <c r="T103" s="185"/>
      <c r="U103" s="185"/>
      <c r="V103" s="186"/>
    </row>
    <row r="104">
      <c r="A104" s="188"/>
      <c r="B104" s="188"/>
      <c r="C104" s="188"/>
      <c r="D104" s="188"/>
      <c r="E104" s="188"/>
      <c r="F104" s="188"/>
      <c r="G104" s="188"/>
      <c r="H104" s="188"/>
      <c r="I104" s="189" t="s">
        <v>61</v>
      </c>
      <c r="J104" s="190">
        <v>0.0</v>
      </c>
      <c r="K104" s="191" t="s">
        <v>25</v>
      </c>
      <c r="L104" s="192">
        <v>60.0</v>
      </c>
      <c r="M104" s="193" t="s">
        <v>26</v>
      </c>
      <c r="R104" s="189" t="s">
        <v>61</v>
      </c>
      <c r="S104" s="190">
        <v>0.025</v>
      </c>
      <c r="T104" s="191" t="s">
        <v>25</v>
      </c>
      <c r="U104" s="192">
        <v>60.0</v>
      </c>
      <c r="V104" s="193" t="s">
        <v>26</v>
      </c>
    </row>
    <row r="105">
      <c r="A105" s="188"/>
      <c r="B105" s="188"/>
      <c r="C105" s="188"/>
      <c r="D105" s="188"/>
      <c r="E105" s="188"/>
      <c r="F105" s="188"/>
      <c r="G105" s="188"/>
      <c r="H105" s="188"/>
      <c r="I105" s="189" t="s">
        <v>69</v>
      </c>
      <c r="J105" s="190">
        <v>0.0</v>
      </c>
      <c r="K105" s="191" t="s">
        <v>70</v>
      </c>
      <c r="L105" s="192">
        <v>0.0</v>
      </c>
      <c r="M105" s="193" t="s">
        <v>71</v>
      </c>
      <c r="R105" s="189" t="s">
        <v>69</v>
      </c>
      <c r="S105" s="190">
        <v>0.0596</v>
      </c>
      <c r="T105" s="191" t="s">
        <v>70</v>
      </c>
      <c r="U105" s="192">
        <v>0.0</v>
      </c>
      <c r="V105" s="193" t="s">
        <v>71</v>
      </c>
    </row>
    <row r="106">
      <c r="A106" s="188"/>
      <c r="B106" s="188"/>
      <c r="C106" s="188"/>
      <c r="D106" s="188"/>
      <c r="E106" s="188"/>
      <c r="F106" s="188"/>
      <c r="G106" s="188"/>
      <c r="H106" s="188"/>
      <c r="I106" s="189" t="s">
        <v>73</v>
      </c>
      <c r="J106" s="190">
        <v>0.0</v>
      </c>
      <c r="K106" s="195" t="s">
        <v>74</v>
      </c>
      <c r="L106" s="192">
        <v>0.0</v>
      </c>
      <c r="M106" s="193" t="s">
        <v>48</v>
      </c>
      <c r="R106" s="189" t="s">
        <v>73</v>
      </c>
      <c r="S106" s="190">
        <v>0.0</v>
      </c>
      <c r="T106" s="195" t="s">
        <v>74</v>
      </c>
      <c r="U106" s="192">
        <v>0.0</v>
      </c>
      <c r="V106" s="193" t="s">
        <v>48</v>
      </c>
    </row>
    <row r="107">
      <c r="A107" s="188"/>
      <c r="B107" s="188"/>
      <c r="C107" s="188"/>
      <c r="D107" s="188"/>
      <c r="E107" s="188"/>
      <c r="F107" s="188"/>
      <c r="G107" s="188"/>
      <c r="H107" s="188"/>
      <c r="I107" s="189" t="s">
        <v>76</v>
      </c>
      <c r="J107" s="190">
        <v>0.0</v>
      </c>
      <c r="K107" s="191" t="s">
        <v>77</v>
      </c>
      <c r="L107" s="196">
        <v>0.0</v>
      </c>
      <c r="M107" s="193" t="s">
        <v>78</v>
      </c>
      <c r="R107" s="189" t="s">
        <v>76</v>
      </c>
      <c r="S107" s="190">
        <v>0.0</v>
      </c>
      <c r="T107" s="191" t="s">
        <v>77</v>
      </c>
      <c r="U107" s="196">
        <v>0.0</v>
      </c>
      <c r="V107" s="193" t="s">
        <v>78</v>
      </c>
    </row>
    <row r="108">
      <c r="A108" s="188"/>
      <c r="B108" s="188"/>
      <c r="C108" s="188"/>
      <c r="D108" s="188"/>
      <c r="E108" s="188"/>
      <c r="F108" s="188"/>
      <c r="G108" s="188"/>
      <c r="H108" s="188"/>
      <c r="I108" s="189" t="s">
        <v>67</v>
      </c>
      <c r="J108" s="190">
        <v>0.0097</v>
      </c>
      <c r="K108" s="191" t="s">
        <v>80</v>
      </c>
      <c r="L108" s="196">
        <v>0.0</v>
      </c>
      <c r="M108" s="193" t="s">
        <v>81</v>
      </c>
      <c r="R108" s="189" t="s">
        <v>67</v>
      </c>
      <c r="S108" s="190">
        <v>0.003</v>
      </c>
      <c r="T108" s="191" t="s">
        <v>80</v>
      </c>
      <c r="U108" s="196">
        <v>0.0</v>
      </c>
      <c r="V108" s="193" t="s">
        <v>81</v>
      </c>
    </row>
    <row r="109">
      <c r="A109" s="188"/>
      <c r="B109" s="188"/>
      <c r="C109" s="188"/>
      <c r="D109" s="188"/>
      <c r="E109" s="188"/>
      <c r="F109" s="188"/>
      <c r="G109" s="188"/>
      <c r="H109" s="188"/>
      <c r="I109" s="199" t="s">
        <v>83</v>
      </c>
      <c r="J109" s="200">
        <v>0.0</v>
      </c>
      <c r="K109" s="201"/>
      <c r="L109" s="202"/>
      <c r="M109" s="203"/>
      <c r="R109" s="199" t="s">
        <v>83</v>
      </c>
      <c r="S109" s="200">
        <v>0.0</v>
      </c>
      <c r="T109" s="201"/>
      <c r="U109" s="202"/>
      <c r="V109" s="203"/>
    </row>
    <row r="111">
      <c r="R111" s="184" t="s">
        <v>124</v>
      </c>
      <c r="S111" s="185"/>
      <c r="T111" s="185"/>
      <c r="U111" s="185"/>
      <c r="V111" s="186"/>
    </row>
    <row r="112">
      <c r="R112" s="189" t="s">
        <v>61</v>
      </c>
      <c r="S112" s="190">
        <v>0.025</v>
      </c>
      <c r="T112" s="191" t="s">
        <v>25</v>
      </c>
      <c r="U112" s="192">
        <v>60.0</v>
      </c>
      <c r="V112" s="193" t="s">
        <v>26</v>
      </c>
    </row>
    <row r="113">
      <c r="R113" s="189" t="s">
        <v>69</v>
      </c>
      <c r="S113" s="190">
        <v>0.0867</v>
      </c>
      <c r="T113" s="191" t="s">
        <v>70</v>
      </c>
      <c r="U113" s="192">
        <v>0.0</v>
      </c>
      <c r="V113" s="193" t="s">
        <v>71</v>
      </c>
    </row>
    <row r="114">
      <c r="R114" s="189" t="s">
        <v>73</v>
      </c>
      <c r="S114" s="190">
        <v>0.0</v>
      </c>
      <c r="T114" s="195" t="s">
        <v>74</v>
      </c>
      <c r="U114" s="192">
        <v>0.0</v>
      </c>
      <c r="V114" s="193" t="s">
        <v>48</v>
      </c>
    </row>
    <row r="115">
      <c r="R115" s="189" t="s">
        <v>76</v>
      </c>
      <c r="S115" s="190">
        <v>0.0</v>
      </c>
      <c r="T115" s="191" t="s">
        <v>77</v>
      </c>
      <c r="U115" s="196">
        <v>0.0</v>
      </c>
      <c r="V115" s="193" t="s">
        <v>78</v>
      </c>
    </row>
    <row r="116">
      <c r="R116" s="189" t="s">
        <v>67</v>
      </c>
      <c r="S116" s="190">
        <v>0.007</v>
      </c>
      <c r="T116" s="191" t="s">
        <v>80</v>
      </c>
      <c r="U116" s="196">
        <v>0.0</v>
      </c>
      <c r="V116" s="193" t="s">
        <v>81</v>
      </c>
    </row>
    <row r="117">
      <c r="R117" s="199" t="s">
        <v>83</v>
      </c>
      <c r="S117" s="200">
        <v>0.0</v>
      </c>
      <c r="T117" s="201"/>
      <c r="U117" s="202"/>
      <c r="V117" s="203"/>
    </row>
    <row r="119">
      <c r="R119" s="184" t="s">
        <v>125</v>
      </c>
      <c r="S119" s="185"/>
      <c r="T119" s="185"/>
      <c r="U119" s="185"/>
      <c r="V119" s="186"/>
    </row>
    <row r="120">
      <c r="R120" s="189" t="s">
        <v>61</v>
      </c>
      <c r="S120" s="190">
        <v>0.025</v>
      </c>
      <c r="T120" s="191" t="s">
        <v>25</v>
      </c>
      <c r="U120" s="192">
        <v>60.0</v>
      </c>
      <c r="V120" s="193" t="s">
        <v>26</v>
      </c>
    </row>
    <row r="121">
      <c r="R121" s="189" t="s">
        <v>69</v>
      </c>
      <c r="S121" s="190">
        <v>0.06</v>
      </c>
      <c r="T121" s="191" t="s">
        <v>70</v>
      </c>
      <c r="U121" s="192">
        <v>0.0</v>
      </c>
      <c r="V121" s="193" t="s">
        <v>71</v>
      </c>
    </row>
    <row r="122">
      <c r="R122" s="189" t="s">
        <v>73</v>
      </c>
      <c r="S122" s="190">
        <v>0.0</v>
      </c>
      <c r="T122" s="195" t="s">
        <v>74</v>
      </c>
      <c r="U122" s="192">
        <v>0.0</v>
      </c>
      <c r="V122" s="193" t="s">
        <v>48</v>
      </c>
    </row>
    <row r="123">
      <c r="R123" s="189" t="s">
        <v>76</v>
      </c>
      <c r="S123" s="190">
        <v>0.0</v>
      </c>
      <c r="T123" s="191" t="s">
        <v>77</v>
      </c>
      <c r="U123" s="196">
        <v>0.0</v>
      </c>
      <c r="V123" s="193" t="s">
        <v>78</v>
      </c>
    </row>
    <row r="124">
      <c r="R124" s="189" t="s">
        <v>67</v>
      </c>
      <c r="S124" s="190">
        <v>0.0048</v>
      </c>
      <c r="T124" s="191" t="s">
        <v>80</v>
      </c>
      <c r="U124" s="196">
        <v>0.0</v>
      </c>
      <c r="V124" s="193" t="s">
        <v>81</v>
      </c>
    </row>
    <row r="125">
      <c r="R125" s="199" t="s">
        <v>83</v>
      </c>
      <c r="S125" s="200">
        <v>0.0</v>
      </c>
      <c r="T125" s="201"/>
      <c r="U125" s="202"/>
      <c r="V125" s="203"/>
    </row>
    <row r="127">
      <c r="R127" s="184" t="s">
        <v>126</v>
      </c>
      <c r="S127" s="185"/>
      <c r="T127" s="185"/>
      <c r="U127" s="185"/>
      <c r="V127" s="186"/>
    </row>
    <row r="128">
      <c r="R128" s="189" t="s">
        <v>61</v>
      </c>
      <c r="S128" s="190">
        <v>0.025</v>
      </c>
      <c r="T128" s="191" t="s">
        <v>25</v>
      </c>
      <c r="U128" s="192">
        <v>60.0</v>
      </c>
      <c r="V128" s="193" t="s">
        <v>26</v>
      </c>
    </row>
    <row r="129">
      <c r="R129" s="189" t="s">
        <v>69</v>
      </c>
      <c r="S129" s="190">
        <v>0.055</v>
      </c>
      <c r="T129" s="191" t="s">
        <v>70</v>
      </c>
      <c r="U129" s="192">
        <v>0.0</v>
      </c>
      <c r="V129" s="193" t="s">
        <v>71</v>
      </c>
    </row>
    <row r="130">
      <c r="R130" s="189" t="s">
        <v>73</v>
      </c>
      <c r="S130" s="190">
        <v>0.0</v>
      </c>
      <c r="T130" s="195" t="s">
        <v>74</v>
      </c>
      <c r="U130" s="192">
        <v>0.0</v>
      </c>
      <c r="V130" s="193" t="s">
        <v>48</v>
      </c>
    </row>
    <row r="131">
      <c r="R131" s="189" t="s">
        <v>76</v>
      </c>
      <c r="S131" s="190">
        <v>0.0</v>
      </c>
      <c r="T131" s="191" t="s">
        <v>77</v>
      </c>
      <c r="U131" s="196">
        <v>0.0</v>
      </c>
      <c r="V131" s="193" t="s">
        <v>78</v>
      </c>
    </row>
    <row r="132">
      <c r="R132" s="189" t="s">
        <v>67</v>
      </c>
      <c r="S132" s="190">
        <v>0.008</v>
      </c>
      <c r="T132" s="191" t="s">
        <v>80</v>
      </c>
      <c r="U132" s="196">
        <v>0.0</v>
      </c>
      <c r="V132" s="193" t="s">
        <v>81</v>
      </c>
    </row>
    <row r="133">
      <c r="R133" s="199" t="s">
        <v>83</v>
      </c>
      <c r="S133" s="200">
        <v>0.0</v>
      </c>
      <c r="T133" s="201"/>
      <c r="U133" s="202"/>
      <c r="V133" s="203"/>
    </row>
    <row r="135">
      <c r="R135" s="184" t="s">
        <v>127</v>
      </c>
      <c r="S135" s="185"/>
      <c r="T135" s="185"/>
      <c r="U135" s="185"/>
      <c r="V135" s="186"/>
    </row>
    <row r="136">
      <c r="R136" s="189" t="s">
        <v>61</v>
      </c>
      <c r="S136" s="190">
        <v>0.025</v>
      </c>
      <c r="T136" s="191" t="s">
        <v>25</v>
      </c>
      <c r="U136" s="192">
        <v>60.0</v>
      </c>
      <c r="V136" s="193" t="s">
        <v>26</v>
      </c>
    </row>
    <row r="137">
      <c r="R137" s="189" t="s">
        <v>69</v>
      </c>
      <c r="S137" s="190">
        <v>0.046</v>
      </c>
      <c r="T137" s="191" t="s">
        <v>70</v>
      </c>
      <c r="U137" s="192">
        <v>0.0</v>
      </c>
      <c r="V137" s="193" t="s">
        <v>71</v>
      </c>
    </row>
    <row r="138">
      <c r="R138" s="189" t="s">
        <v>73</v>
      </c>
      <c r="S138" s="190">
        <v>0.0</v>
      </c>
      <c r="T138" s="195" t="s">
        <v>74</v>
      </c>
      <c r="U138" s="192">
        <v>0.0</v>
      </c>
      <c r="V138" s="193" t="s">
        <v>48</v>
      </c>
    </row>
    <row r="139">
      <c r="R139" s="189" t="s">
        <v>76</v>
      </c>
      <c r="S139" s="190">
        <v>0.0</v>
      </c>
      <c r="T139" s="191" t="s">
        <v>77</v>
      </c>
      <c r="U139" s="196">
        <v>0.0</v>
      </c>
      <c r="V139" s="193" t="s">
        <v>78</v>
      </c>
    </row>
    <row r="140">
      <c r="R140" s="189" t="s">
        <v>67</v>
      </c>
      <c r="S140" s="190">
        <v>2.0E-4</v>
      </c>
      <c r="T140" s="191" t="s">
        <v>80</v>
      </c>
      <c r="U140" s="196">
        <v>0.0</v>
      </c>
      <c r="V140" s="193" t="s">
        <v>81</v>
      </c>
    </row>
    <row r="141">
      <c r="R141" s="199" t="s">
        <v>83</v>
      </c>
      <c r="S141" s="200">
        <v>0.0</v>
      </c>
      <c r="T141" s="201"/>
      <c r="U141" s="202"/>
      <c r="V141" s="203"/>
    </row>
    <row r="267">
      <c r="B267" s="209" t="s">
        <v>128</v>
      </c>
      <c r="C267" s="209" t="s">
        <v>129</v>
      </c>
      <c r="F267" s="209" t="s">
        <v>130</v>
      </c>
    </row>
    <row r="268">
      <c r="B268" s="210">
        <v>0.0042</v>
      </c>
      <c r="C268" s="210">
        <v>0.0045</v>
      </c>
      <c r="F268" s="210">
        <v>7.0E-4</v>
      </c>
    </row>
    <row r="269">
      <c r="B269" s="209" t="s">
        <v>131</v>
      </c>
      <c r="C269" s="210">
        <v>0.0087</v>
      </c>
      <c r="F269" s="210">
        <v>0.0049</v>
      </c>
    </row>
    <row r="270">
      <c r="B270" s="209" t="s">
        <v>132</v>
      </c>
      <c r="C270" s="211">
        <f>100%-F270</f>
        <v>0.32</v>
      </c>
      <c r="F270" s="211">
        <v>0.68</v>
      </c>
    </row>
    <row r="271">
      <c r="B271" s="209"/>
      <c r="C271" s="209"/>
      <c r="F271" s="209"/>
    </row>
    <row r="272">
      <c r="B272" s="212" t="s">
        <v>133</v>
      </c>
      <c r="C272" s="209"/>
      <c r="F272" s="213">
        <f>(C269*C270+F269*F270)</f>
        <v>0.006116</v>
      </c>
    </row>
  </sheetData>
  <mergeCells count="30">
    <mergeCell ref="I3:M3"/>
    <mergeCell ref="R3:V3"/>
    <mergeCell ref="I12:M12"/>
    <mergeCell ref="R12:V12"/>
    <mergeCell ref="I21:M21"/>
    <mergeCell ref="R21:V21"/>
    <mergeCell ref="R29:V29"/>
    <mergeCell ref="I29:M29"/>
    <mergeCell ref="I37:M37"/>
    <mergeCell ref="R37:V37"/>
    <mergeCell ref="I45:M45"/>
    <mergeCell ref="R45:V45"/>
    <mergeCell ref="R53:V53"/>
    <mergeCell ref="I59:M60"/>
    <mergeCell ref="I61:M61"/>
    <mergeCell ref="R61:V61"/>
    <mergeCell ref="I70:M70"/>
    <mergeCell ref="R70:V70"/>
    <mergeCell ref="I79:M79"/>
    <mergeCell ref="R79:V79"/>
    <mergeCell ref="R87:V87"/>
    <mergeCell ref="R127:V127"/>
    <mergeCell ref="R135:V135"/>
    <mergeCell ref="I87:M87"/>
    <mergeCell ref="I95:M95"/>
    <mergeCell ref="R95:V95"/>
    <mergeCell ref="I103:M103"/>
    <mergeCell ref="R103:V103"/>
    <mergeCell ref="R111:V111"/>
    <mergeCell ref="R119:V119"/>
  </mergeCells>
  <drawing r:id="rId2"/>
  <legacyDrawing r:id="rId3"/>
  <tableParts count="1">
    <tablePart r:id="rId5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2011-07-06T14:15:26Z</dcterms:created>
  <dc:creator>Franz Bürle</dc:creator>
</cp:coreProperties>
</file>